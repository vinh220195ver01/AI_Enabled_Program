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hanh.duong\Downloads\"/>
    </mc:Choice>
  </mc:AlternateContent>
  <bookViews>
    <workbookView xWindow="0" yWindow="0" windowWidth="28800" windowHeight="13470" tabRatio="500" activeTab="2"/>
  </bookViews>
  <sheets>
    <sheet name="Guide" sheetId="1" r:id="rId1"/>
    <sheet name="Scoring" sheetId="2" r:id="rId2"/>
    <sheet name="Skill_Criteria" sheetId="3" r:id="rId3"/>
    <sheet name="Output_Criteria" sheetId="4" r:id="rId4"/>
  </sheets>
  <definedNames>
    <definedName name="_xlnm._FilterDatabase" localSheetId="3" hidden="1">Output_Criteria!$A$4:$J$39</definedName>
    <definedName name="_xlnm._FilterDatabase" localSheetId="2" hidden="1">Skill_Criteria!$A$4:$J$39</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5" i="2" l="1"/>
  <c r="G11" i="2"/>
  <c r="E11" i="2"/>
  <c r="H11" i="2" s="1"/>
  <c r="J11" i="2" s="1"/>
  <c r="G10" i="2"/>
  <c r="E10" i="2"/>
  <c r="H10" i="2" s="1"/>
  <c r="J10" i="2" s="1"/>
  <c r="G9" i="2"/>
  <c r="E9" i="2"/>
  <c r="H9" i="2" s="1"/>
  <c r="J9" i="2" s="1"/>
  <c r="G8" i="2"/>
  <c r="E8" i="2"/>
  <c r="H8" i="2" s="1"/>
  <c r="J8" i="2" s="1"/>
  <c r="G7" i="2"/>
  <c r="E7" i="2"/>
  <c r="H7" i="2" s="1"/>
  <c r="J7" i="2" s="1"/>
  <c r="G6" i="2"/>
  <c r="E6" i="2"/>
  <c r="H6" i="2" s="1"/>
  <c r="J6" i="2" s="1"/>
  <c r="G5" i="2"/>
  <c r="H5" i="2" l="1"/>
  <c r="H12" i="2" s="1"/>
  <c r="H13" i="2" s="1"/>
  <c r="J5" i="2" l="1"/>
</calcChain>
</file>

<file path=xl/sharedStrings.xml><?xml version="1.0" encoding="utf-8"?>
<sst xmlns="http://schemas.openxmlformats.org/spreadsheetml/2006/main" count="609" uniqueCount="309">
  <si>
    <t>QA Automation – AI Skills Assessment Rubric (Auto QA)</t>
  </si>
  <si>
    <t>Purpose</t>
  </si>
  <si>
    <t>Assess how well an Auto QA learner uses AI in each of the 7 QA Automation sub-categories, at Level 1–5, from verifiable evidence. Written so an auto-evaluation tool can score without interpretation.</t>
  </si>
  <si>
    <t>Audience</t>
  </si>
  <si>
    <t>QA Manager / Head of Department (review results), QA AI learners (know what to submit and what each level requires), auto-evaluation tool (reads Skill_Criteria and Output_Criteria).</t>
  </si>
  <si>
    <t>Sources</t>
  </si>
  <si>
    <t>Level names, descriptions, categories and the 80% skill / 20% output weights come from Auto_Enabled_AI.xlsx. Evidence style (Pass when ALL, fail examples, transcript proof, template copied from assets/, no domain knowledge, no fabrication) follows QA_AI_Skills_Assessment_Rubric_MANUAL.xlsx. Tech stack assumed: Playwright + TypeScript.</t>
  </si>
  <si>
    <t>Evidence package (per sub-category)</t>
  </si>
  <si>
    <t>1) Skills folder (SKILL.md, references/, assets/).
2) Full, unedited chat/agent transcripts, including the skill invocation.
3) Output files (test case file, framework repo, specs, review report, plan, run report, bug report).
4) Run logs: `tsc`, lint, `npx playwright test` output, CI/scheduler logs, test reports (JSON/HTML).
5) Git history / merge request / review records.
Missing evidence = condition fails. Screenshots or pasted text without a transcript do not count.</t>
  </si>
  <si>
    <t>How a level is decided</t>
  </si>
  <si>
    <t>Each level row in Skill_Criteria and Output_Criteria lists conditions. A row is Pass only if ALL its conditions pass. Levels are cumulative: Level N is awarded only when Levels 1..N are all Pass. Score = highest level reached; Level 1 failing = 0 (not evidenced). Enter Pass/Fail in the yellow Result column; the Scoring sheet computes the rest.</t>
  </si>
  <si>
    <t>Scoring formula</t>
  </si>
  <si>
    <t>Final scored = Weight % of skill × skill level + Weight % of output × output level (default 80% / 20%; scale 0–5). Overall = average of the 7 Final scored values; Overall level = whole-number part.</t>
  </si>
  <si>
    <t>Skill vs Output</t>
  </si>
  <si>
    <t>Skill = maturity of how the AI was driven (manual prompting → skills → knowledge base → supervised agent → autonomous orchestrator). Output = quality of what the AI produced in that sub-category, checked against the artifacts and run logs.</t>
  </si>
  <si>
    <t>Level names</t>
  </si>
  <si>
    <t>Kept exactly as in Auto_Enabled_AI.xlsx. The output names mention scripts; the conditions in Output_Criteria are rewritten per sub-category (test case design, framework, scripts, review, plan, report, bug).</t>
  </si>
  <si>
    <t>Proposed thresholds (confirm)</t>
  </si>
  <si>
    <t>Not stated in the source files; chosen to make checks deterministic: 3 consecutive passes for stability; ≥5 prior runs for trends; ≥2 triggered runs for Level 5; ≥90% of up to 10 sampled items valid; banned Expected Result phrases as in the MANUAL rubric. Target Final scored on the Scoring sheet defaults to 3.0 (editable).</t>
  </si>
  <si>
    <t>Open items</t>
  </si>
  <si>
    <t>1) Team convention documents (folder layout, naming, review checklist, bug template, severity/priority guideline) must exist for Level 2+ checks to be testable.
2) Confirm target score and thresholds above with the QA Manager.
3) Provide the exercise/answer key if a Group-C style comparison (as in the MANUAL rubric) is wanted.</t>
  </si>
  <si>
    <t>Scoring Sheet – Auto QA AI Skills</t>
  </si>
  <si>
    <t>Target Final scored (assumption – confirm with QA Manager)</t>
  </si>
  <si>
    <t>Legend: yellow = input. skill / output levels are computed from the Result columns of Skill_Criteria / Output_Criteria (0 = not evidenced, blank = not assessed). Example: skill 3, output 2 → 0.8×3 + 0.2×2 = 2.8.</t>
  </si>
  <si>
    <t>Category</t>
  </si>
  <si>
    <t>Sub-Category</t>
  </si>
  <si>
    <t>Evaluation Criteria</t>
  </si>
  <si>
    <t>Weight % of skill</t>
  </si>
  <si>
    <t>skill (1-5)</t>
  </si>
  <si>
    <t>Weight % of output</t>
  </si>
  <si>
    <t>output (1-5)</t>
  </si>
  <si>
    <t>Final scored</t>
  </si>
  <si>
    <t>Evidence/Notes</t>
  </si>
  <si>
    <t>Meets target?</t>
  </si>
  <si>
    <t>Requirement &amp; Test Design</t>
  </si>
  <si>
    <t>Automation test case design</t>
  </si>
  <si>
    <t>Uses AI to generate auto test case design</t>
  </si>
  <si>
    <t>Automation Development</t>
  </si>
  <si>
    <t>Framework Generation</t>
  </si>
  <si>
    <t>Uses AI to create automation framework components</t>
  </si>
  <si>
    <t>Script Development</t>
  </si>
  <si>
    <t>Generates reusable automation scripts with AI assistance</t>
  </si>
  <si>
    <t>Code Review</t>
  </si>
  <si>
    <t>Uses AI for code review and optimization</t>
  </si>
  <si>
    <t>Execution &amp; Analysis</t>
  </si>
  <si>
    <t>Execution Support</t>
  </si>
  <si>
    <t>Uses AI for test execution planning and monitoring</t>
  </si>
  <si>
    <t>Result Analysis</t>
  </si>
  <si>
    <t>Uses AI to analyze logs, failures and trends. Summary final report</t>
  </si>
  <si>
    <t>Bug Management</t>
  </si>
  <si>
    <t>Defect Creation</t>
  </si>
  <si>
    <t>Uses AI to draft high-quality bug reports</t>
  </si>
  <si>
    <t>Overall (average of sub-categories)</t>
  </si>
  <si>
    <t>Overall level (whole number)</t>
  </si>
  <si>
    <t>Skill levels (from Auto_Enabled_AI.xlsx)</t>
  </si>
  <si>
    <t>Level</t>
  </si>
  <si>
    <t>Name</t>
  </si>
  <si>
    <t>Description</t>
  </si>
  <si>
    <t>Level 1</t>
  </si>
  <si>
    <t>Manual Prompting</t>
  </si>
  <si>
    <t>No skills or standard procedures exist for the AI to follow. Humans manually provide requirements, prompts, data, and instructions, then copy the chatbot output into the project. All output must be reviewed and adjusted to match the project's coding standards and context.</t>
  </si>
  <si>
    <t>Level 2</t>
  </si>
  <si>
    <t>Standardized Skills</t>
  </si>
  <si>
    <t>Skills or standard procedures guide the AI, so repeated tasks produce consistent, predictable output.</t>
  </si>
  <si>
    <t>Level 3</t>
  </si>
  <si>
    <t>Shared Knowledge Base</t>
  </si>
  <si>
    <t>Skills gather external data and convert it into Markdown or other AI-friendly documents/database. Knowledge is disclosed progressively (loaded only when needed), and the team can reuse and share it across the repository.</t>
  </si>
  <si>
    <t>Level 4</t>
  </si>
  <si>
    <t>Supervised Task Completion</t>
  </si>
  <si>
    <t>The AI agent completes the task end to end and produces final deliverables. Every stage and step is trackable and reviewable, and a human reviews the result before it is accepted.</t>
  </si>
  <si>
    <t>Level 5</t>
  </si>
  <si>
    <t>Autonomous Integrated Delivery</t>
  </si>
  <si>
    <t>An AI orchestrator runs tasks on a schedule or trigger and delivers the finished work automatically. Only final human approval is required.</t>
  </si>
  <si>
    <t>Output levels (from Auto_Enabled_AI.xlsx)</t>
  </si>
  <si>
    <t>Ad-hoc Script Generation</t>
  </si>
  <si>
    <t>The AI generates individual Playwright snippets from manual prompts, with no shared context or conventions. Selectors are often guessed, and humans must copy, debug, and rewrite the code to fit the framework.</t>
  </si>
  <si>
    <t>Convention-Aligned Output</t>
  </si>
  <si>
    <t>Skills or standard procedures guide the AI to follow the framework's conventions: Page Object Model, naming, locator strategy, and assertion style. Repeated requests produce consistent, readable tests that need only minor review.</t>
  </si>
  <si>
    <t>Context-Aware Generation</t>
  </si>
  <si>
    <t>The AI explores the live application under test and records pages, flows, and key elements in a shared Markdown knowledge base. Tests use real, verified locators and reusable shared steps, and the team can reuse this context across the repository.</t>
  </si>
  <si>
    <t>Self-Validating Test Delivery</t>
  </si>
  <si>
    <t>The AI agent writes, runs, and debugs tests until they pass, then produces final deliverables: test code, test data, a traceability link to the manual test case, and an execution report. Each stage is trackable, and a human reviews the result before merge.</t>
  </si>
  <si>
    <t>Autonomous Test Pipeline</t>
  </si>
  <si>
    <t>An AI orchestrator turns requirements or manual test cases into automated tests, runs them in CI, self-heals broken locators, and triages failures. It maintains the suite on a schedule or trigger, and only final human approval is required.</t>
  </si>
  <si>
    <t>Skill Criteria – Level 1–5 per sub-category (how AI is driven)</t>
  </si>
  <si>
    <t>Pass only if ALL conditions in the row pass. Levels are cumulative: Level N counts only when Levels 1..N are all Pass. Fill the yellow Result column (Pass/Fail).</t>
  </si>
  <si>
    <t>ID</t>
  </si>
  <si>
    <t>Level Name</t>
  </si>
  <si>
    <t>Pass when ALL (new conditions at this level)</t>
  </si>
  <si>
    <t>Evidence source</t>
  </si>
  <si>
    <t>Typical fail examples</t>
  </si>
  <si>
    <t>Result (Pass/Fail)</t>
  </si>
  <si>
    <t>TCD-S1</t>
  </si>
  <si>
    <t>1) Transcript(s) show AI used for this task (input: requirement / user story / manual test cases).
2) Inputs, prompts and data were typed or pasted by the human in the chat; no skill / SKILL.md was invoked.</t>
  </si>
  <si>
    <t>Chat transcript</t>
  </si>
  <si>
    <t>No transcript; output has no AI-generated artifact for this sub-category (score 0 = not evidenced).</t>
  </si>
  <si>
    <t>TCD-S2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</si>
  <si>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converting approved manual test cases into automation-ready test case designs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(columns and sheet names): 100% match.</t>
  </si>
  <si>
    <t>Skills folder (SKILL.md, references/, assets/); transcript</t>
  </si>
  <si>
    <t>Folder `Test Case Design` or file `skill.md`; description only says what the skill is; steps written as a paragraph or unnumbered bullets (or numbered 1,2,4); template saved in references/; project URL or test account inside the skill; second run changes the output structure.</t>
  </si>
  <si>
    <t>TCD-S3</t>
  </si>
  <si>
    <t>1) A skill step gathers application screens and flows from the live app, the manual test case repository and the test data catalog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</si>
  <si>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Knowledge files in repo; transcript; git log</t>
  </si>
  <si>
    <t>Knowledge typed by hand with no gathering step; files kept only on a laptop; whole knowledge base pasted into SKILL.md or loaded at the start; only the author ever used it; password or token in a knowledge file.</t>
  </si>
  <si>
    <t>TCD-S4</t>
  </si>
  <si>
    <t>1) In one session/agent run the AI went from input to all deliverables: automation test case design file (team template), traceability (AC → TR → TC), coverage summary;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coverage check that every Test Requirement ID has ≥1 test case;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</si>
  <si>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Transcript; stage log/trace; review record</t>
  </si>
  <si>
    <t>A person wrote part of the deliverable; no stage log; no self-check run; approval not recorded; an invented limit presented as a requirement.</t>
  </si>
  <si>
    <t>TCD-S5</t>
  </si>
  <si>
    <t>1) An orchestrator config in the repo (CI file, scheduler or agent config) defines the trigger: an approved or changed requirement / manual test case; the run log shows ≥2 executions started by that trigger with no human prompt.
2) The orchestrator invokes this sub-category's skill and hands off automatically to the next stage (automation script development); the log shows no human action at the handoff.
3) The finished deliverable is delivered automatically to the repository or test-management tool.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</si>
  <si>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CI/scheduler config; run logs; audit log</t>
  </si>
  <si>
    <t>Run started by someone typing a prompt; a manual copy/paste step between trigger and approval; no retry or escalation path; no audit log.</t>
  </si>
  <si>
    <t>FWG-S1</t>
  </si>
  <si>
    <t>1) Transcript(s) show AI used for this task (input: framework requirements (stack, environments, reporting, CI)).
2) Inputs, prompts and data were typed or pasted by the human in the chat; no skill / SKILL.md was invoked.</t>
  </si>
  <si>
    <t>FWG-S2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</si>
  <si>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scaffolding or extending a Playwright TypeScript test framework from stated requirements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(folder layout, config keys and file names): 100% match.</t>
  </si>
  <si>
    <t>FWG-S3</t>
  </si>
  <si>
    <t>1) A skill step gathers team framework conventions, the existing repo structure, the environment list and config keys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</si>
  <si>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FWG-S4</t>
  </si>
  <si>
    <t>1) In one session/agent run the AI went from input to all deliverables: framework files (playwright.config.ts, fixtures, base page, utils, env config, package.json scripts, CI file), README, sample smoke test;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`npm ci`, `npx tsc --noEmit`, lint and the sample smoke test;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</si>
  <si>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FWG-S5</t>
  </si>
  <si>
    <t>1) An orchestrator config in the repo (CI file, scheduler or agent config) defines the trigger: a new project request or a Playwright/dependency version change; the run log shows ≥2 executions started by that trigger with no human prompt.
2) The orchestrator invokes this sub-category's skill and hands off automatically to the next stage (the CI smoke run); the log shows no human action at the handoff.
3) The finished deliverable is delivered automatically to a merge request.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</si>
  <si>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SCR-S1</t>
  </si>
  <si>
    <t>1) Transcript(s) show AI used for this task (input: automation test case design (TC ID, steps, expected results)).
2) Inputs, prompts and data were typed or pasted by the human in the chat; no skill / SKILL.md was invoked.</t>
  </si>
  <si>
    <t>SCR-S2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</si>
  <si>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implementing Playwright TypeScript scripts from approved automation test case designs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(Page Object, spec, fixture and test-data file layout): 100% match.</t>
  </si>
  <si>
    <t>SCR-S3</t>
  </si>
  <si>
    <t>1) A skill step gathers a page / flow / element map of the live app plus the shared-step and fixture catalog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</si>
  <si>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SCR-S4</t>
  </si>
  <si>
    <t>1) In one session/agent run the AI went from input to all deliverables: test code, test data file, link to the manual test case ID, execution report;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test run with 3 consecutive passes;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</si>
  <si>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SCR-S5</t>
  </si>
  <si>
    <t>1) An orchestrator config in the repo (CI file, scheduler or agent config) defines the trigger: an approved automation test case design; the run log shows ≥2 executions started by that trigger with no human prompt.
2) The orchestrator invokes this sub-category's skill and hands off automatically to the next stage (CI execution and failure triage); the log shows no human action at the handoff.
3) The finished deliverable is delivered automatically to a merge request.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</si>
  <si>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REV-S1</t>
  </si>
  <si>
    <t>1) Transcript(s) show AI used for this task (input: merge request diff or script files).
2) Inputs, prompts and data were typed or pasted by the human in the chat; no skill / SKILL.md was invoked.</t>
  </si>
  <si>
    <t>REV-S2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</si>
  <si>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reviewing Playwright TypeScript changes against team coding standards before merge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(report sections and finding fields): 100% match.</t>
  </si>
  <si>
    <t>REV-S3</t>
  </si>
  <si>
    <t>1) A skill step gathers team coding standards, lint rules, the shared helper catalog and past review findings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</si>
  <si>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REV-S4</t>
  </si>
  <si>
    <t>1) In one session/agent run the AI went from input to all deliverables: review report, patch/commit with fixes, before/after lint and test results;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lint, `tsc` and the affected tests after the fixes;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</si>
  <si>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REV-S5</t>
  </si>
  <si>
    <t>1) An orchestrator config in the repo (CI file, scheduler or agent config) defines the trigger: a new or updated merge request; the run log shows ≥2 executions started by that trigger with no human prompt.
2) The orchestrator invokes this sub-category's skill and hands off automatically to the next stage (inline comments and the quality-gate verdict); the log shows no human action at the handoff.
3) The finished deliverable is delivered automatically to the merge request comments.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</si>
  <si>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EXE-S1</t>
  </si>
  <si>
    <t>1) Transcript(s) show AI used for this task (input: test scope, build info and target environment).
2) Inputs, prompts and data were typed or pasted by the human in the chat; no skill / SKILL.md was invoked.</t>
  </si>
  <si>
    <t>EXE-S2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</si>
  <si>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planning a Playwright test run for a given build, scope and environment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(plan sections): 100% match.</t>
  </si>
  <si>
    <t>EXE-S3</t>
  </si>
  <si>
    <t>1) A skill step gathers the test inventory with tags and duration history, environment and test-data status, and the flaky-test list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</si>
  <si>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EXE-S4</t>
  </si>
  <si>
    <t>1) In one session/agent run the AI went from input to all deliverables: execution plan, run commands, execution log, status report;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a dry run (`npx playwright test --list`) of the selected scope;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</si>
  <si>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EXE-S5</t>
  </si>
  <si>
    <t>1) An orchestrator config in the repo (CI file, scheduler or agent config) defines the trigger: a schedule or a deployment event; the run log shows ≥2 executions started by that trigger with no human prompt.
2) The orchestrator invokes this sub-category's skill and hands off automatically to the next stage (result analysis); the log shows no human action at the handoff.
3) The finished deliverable is delivered automatically to the team channel or email.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</si>
  <si>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RES-S1</t>
  </si>
  <si>
    <t>1) Transcript(s) show AI used for this task (input: run artifacts (JSON/JUnit/HTML report, traces, logs)).
2) Inputs, prompts and data were typed or pasted by the human in the chat; no skill / SKILL.md was invoked.</t>
  </si>
  <si>
    <t>RES-S2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</si>
  <si>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analyzing Playwright run results and failures to produce a summary report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(report sections): 100% match.</t>
  </si>
  <si>
    <t>RES-S3</t>
  </si>
  <si>
    <t>1) A skill step gathers run history, known issues, the flaky-test list and the failure classification taxonomy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</si>
  <si>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RES-S4</t>
  </si>
  <si>
    <t>1) In one session/agent run the AI went from input to all deliverables: final report with failure classification, trend, recommendations and a draft defect list;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a cross-check of every figure against the source report;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</si>
  <si>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RES-S5</t>
  </si>
  <si>
    <t>1) An orchestrator config in the repo (CI file, scheduler or agent config) defines the trigger: a completed test run; the run log shows ≥2 executions started by that trigger with no human prompt.
2) The orchestrator invokes this sub-category's skill and hands off automatically to the next stage (defect creation); the log shows no human action at the handoff.
3) The finished deliverable is delivered automatically to the dashboard or team channel.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</si>
  <si>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DEF-S1</t>
  </si>
  <si>
    <t>1) Transcript(s) show AI used for this task (input: failure evidence (screenshot, trace, log, failing test)).
2) Inputs, prompts and data were typed or pasted by the human in the chat; no skill / SKILL.md was invoked.</t>
  </si>
  <si>
    <t>DEF-S2</t>
  </si>
  <si>
    <t>1) Skill folder for this task exists: kebab-case name matching ^[a-z0-9]+(-[a-z0-9]+)*$, ≤64 chars, exactly one file named SKILL.md at the folder root.
2) SKILL.md frontmatter (line 1, valid YAML) has `name` identical to the folder name and a non-empty `description` ≤1024 chars with no &lt; or &gt;, containing a specific trigger clause (e.g., "Use when drafting a bug report from a confirmed failure with evidence …").
3) SKILL.md has a Process / Workflow / Steps heading with consecutively numbered steps (≥3), each starting with an action verb.
4) Every file in references/ and assets/ is cited by relative path with the step number where it is opened; no orphan files, no broken paths; templates in assets/, rules/checklists in references/.
5) No project domain knowledge in any skill file (AUT name, URL, account, password, business rule). Test: "still true on another project?"
6) Transcript shows the skill invoked (tool call or SKILL.md read) and the deliverable produced right after, in the same chat.
7) Two runs with different inputs give the same deliverable structure (bug fields): 100% match.</t>
  </si>
  <si>
    <t>DEF-S3</t>
  </si>
  <si>
    <t>1) A skill step gathers the bug template, the severity/priority guideline, the existing bug list and the module/keyword list and converts it into Markdown (or another AI-friendly document/database); the transcript or tool calls show the gathering.
2) Knowledge files are committed to a shared repository path (not local-only); each has a title plus source and last-updated date; ≥1 file.
3) Progressive disclosure: SKILL.md does not inline the knowledge; each knowledge file is named in the step that needs it ("open at Step N") and the transcript shows it read at that step, not all upfront.
4) Reuse evidence: ≥1 knowledge file is used by a second person or a second task (git log shows ≥2 distinct authors, or ≥2 transcripts read the same file).
5) Secret scan of knowledge files returns 0 hits (passwords, tokens, API keys).</t>
  </si>
  <si>
    <t>DEF-S4</t>
  </si>
  <si>
    <t>1) In one session/agent run the AI went from input to all deliverables: bug report(s) with evidence attached, duplicate check and reproduction result; transcript shows tool calls creating each deliverable (none hand-written by a human).
2) Every stage is trackable: a step log/trace, or one message/commit per stage, in the same order as the skill Process; each stage shows input, action and result.
3) The agent self-checked before handoff by running a reproduction re-run of the failing steps; the result is recorded.
4) A human review is recorded (MR review, review note file or transcript approval) before the output is accepted; human edits are listed.
5) Every rule or value not present in the source is marked "Assumption —" or listed as an open question; 0 unmarked invented facts.</t>
  </si>
  <si>
    <t>DEF-S5</t>
  </si>
  <si>
    <t>1) An orchestrator config in the repo (CI file, scheduler or agent config) defines the trigger: a failure classified as a product bug; the run log shows ≥2 executions started by that trigger with no human prompt.
2) The orchestrator invokes this sub-category's skill and hands off automatically to the next stage (submission to the bug tracker (e.g., ADO)); the log shows no human action at the handoff.
3) The finished deliverable is delivered automatically to the bug tracker.
4) Failure handling is defined and evidenced: retry or escalation path in config, ≥1 failed or edge-case run handled per that path, and an audit log per run (inputs, outputs, decisions).
5) The only human action in the flow is one final approval event; no manual edits between trigger and approval.</t>
  </si>
  <si>
    <t>Output Criteria – Level 1–5 per sub-category (what AI produced)</t>
  </si>
  <si>
    <t>TCD-O1</t>
  </si>
  <si>
    <t>1) ≥1 AI-generated automation test case exists (file or chat text).
2) Each test case has Summary, Steps and Expected Result.</t>
  </si>
  <si>
    <t>Chat transcript; output text/file</t>
  </si>
  <si>
    <t>No AI-generated test case, or a test case without steps or expected result.</t>
  </si>
  <si>
    <t>TCD-O2</t>
  </si>
  <si>
    <t>1) All columns of the team's automation test case template are present (template stored in the skill's assets/ and copied, not rebuilt).
2) 100% of Expected Results state ≥1 observable: message text, displayed value, target screen/URL, field or button state, data saved or not saved.
3) 0 Expected Results consist only of a banned phrase: "works correctly/properly/as expected", "displayed correctly", "no error", "success", "OK".
4) Steps contain concrete test data values (e.g., an actual email string, not "enter valid data").
5) Every test case has an automation-candidate decision (Yes/No) with a one-line reason.</t>
  </si>
  <si>
    <t>Output file; skill assets/ template</t>
  </si>
  <si>
    <t>Template rebuilt from scratch or columns missing; Expected Result = "works as expected"; Step says "enter valid data"; candidate column blank.</t>
  </si>
  <si>
    <t>TCD-O3</t>
  </si>
  <si>
    <t>1) 100% of screen/flow names used in the test cases appear in the knowledge base (KB) files.
2) Shared steps/pre-conditions are referenced by name: ≥1 shared step reused by ≥2 test cases; no step block copied verbatim into ≥3 test cases.
3) Every rule not found in the requirement or KB is marked "Assumption —" or raised as a clarification question; 0 unmarked.</t>
  </si>
  <si>
    <t>Output file; KB files; transcript</t>
  </si>
  <si>
    <t>Screen name not in KB; the same login block pasted into every test case; "Password must be 8–20 characters" written as fact without an Assumption flag.</t>
  </si>
  <si>
    <t>TCD-O4</t>
  </si>
  <si>
    <t>1) Every test case was dry-run against the live application (or an agreed stub) and has Observed Result and Run Status filled (100%).
2) 100% of Test Requirement IDs map to ≥1 test case; every edge-case requirement has its own test case.
3) Deliverables present: test case design file, traceability (AC → TR → TC), coverage summary.
4) Human review is recorded and 0 review comments remain open.</t>
  </si>
  <si>
    <t>Output file; dry-run log; review record</t>
  </si>
  <si>
    <t>Dry-run columns empty; a TR with no TC; edge case only mentioned inside a happy-path test case; coverage summary missing.</t>
  </si>
  <si>
    <t>TCD-O5</t>
  </si>
  <si>
    <t>1) A requirement or manual-test-case change automatically regenerated the design, with a diff listing new, changed and obsolete test cases.
2) The orchestrator published the updated design to the repository/test-management tool (commit author = bot or service account) with traceability intact.
3) 0 manual edits between trigger and approval.
4) Obsolete test cases are flagged with a reason, not silently deleted.</t>
  </si>
  <si>
    <t>Run log; git history; diff report</t>
  </si>
  <si>
    <t>Regeneration needed a person to paste the new requirement; diff missing; obsolete test cases deleted.</t>
  </si>
  <si>
    <t>FWG-O1</t>
  </si>
  <si>
    <t>1) ≥1 AI-generated framework component exists (e.g., playwright.config.ts, a base page class, a utility).</t>
  </si>
  <si>
    <t>Chat transcript; output file</t>
  </si>
  <si>
    <t>No AI-generated file; component only described in prose.</t>
  </si>
  <si>
    <t>FWG-O2</t>
  </si>
  <si>
    <t>1) Folder layout matches the team convention document (e.g., tests/, pages/, fixtures/, utils/, config/); 0 missing or extra top-level folders.
2) `npx tsc --noEmit` exits 0 and ESLint reports 0 errors.
3) 0 hardcoded URLs, credentials or tokens in source; values come from environment variables and a committed `.env.example`.
4) `playwright.config.ts` defines projects, retries, reporter, trace setting and baseURL (from env).
5) `package.json` has scripts for test, lint and typecheck.</t>
  </si>
  <si>
    <t>Generated repo; tsc/lint output</t>
  </si>
  <si>
    <t>tsc errors; password in config; baseURL typed as a literal; no lint script; folder names differ from the convention.</t>
  </si>
  <si>
    <t>FWG-O3</t>
  </si>
  <si>
    <t>1) Every environment name and config key used in the framework appears in the KB.
2) 0 duplicated helpers: no new fixture/utility duplicates an existing one in the repo (name or signature match).
3) README generated with structure, commands and conventions; 100% of listed commands run successfully.</t>
  </si>
  <si>
    <t>Generated repo; KB files; command run log</t>
  </si>
  <si>
    <t>Environment `staging2` not in KB; a second `login` helper added beside the existing one; a README command fails.</t>
  </si>
  <si>
    <t>FWG-O4</t>
  </si>
  <si>
    <t>1) `npm ci` and a sample smoke test (`npx playwright test`) exit 0, recorded in the run log.
2) Deliverables present: framework files, README, sample test, HTML/JSON test report.
3) Human review recorded; 0 open comments.</t>
  </si>
  <si>
    <t>Run log; report; review record</t>
  </si>
  <si>
    <t>Smoke test never run; code delivered without a report.</t>
  </si>
  <si>
    <t>FWG-O5</t>
  </si>
  <si>
    <t>1) Generation or update started automatically (e.g., new project request, Playwright/dependency version change).
2) The CI pipeline ran install, typecheck, lint and smoke test automatically and passed.
3) The orchestrator opened the merge request; no manual commit between trigger and approval.
4) On pipeline failure the log shows an automatic retry with a fix, or escalation after the retry limit.</t>
  </si>
  <si>
    <t>CI config; pipeline logs; MR history</t>
  </si>
  <si>
    <t>Pipeline started by a person; MR opened by hand; failure ignored.</t>
  </si>
  <si>
    <t>SCR-O1</t>
  </si>
  <si>
    <t>1) ≥1 AI-generated Playwright TypeScript test snippet exists.</t>
  </si>
  <si>
    <t>Chat transcript; output code</t>
  </si>
  <si>
    <t>No AI-generated test code; code hand-written.</t>
  </si>
  <si>
    <t>SCR-O2</t>
  </si>
  <si>
    <t>1) 100% of locators are defined in Page Object classes; 0 locators inside spec files.
2) 0 absolute XPath; CSS/XPath used only with a comment justifying it; user-facing locators (`getByRole`, `getByLabel`, `getByTestId`) are the default.
3) Assertions are web-first (`expect(locator)…`); 0 `waitForTimeout` or fixed sleeps.
4) File, class and test names follow the team naming convention.
5) `npx tsc --noEmit` exits 0 and ESLint reports 0 errors.
6) Every test contains ≥1 assertion.</t>
  </si>
  <si>
    <t>Generated test code; tsc/lint output</t>
  </si>
  <si>
    <t>`page.locator('//div[3]/span')` in a spec; `waitForTimeout(5000)`; a test with no `expect`.</t>
  </si>
  <si>
    <t>SCR-O3</t>
  </si>
  <si>
    <t>1) 100% of locators exist in the KB element map or were verified on the live app (run log shows each resolves to exactly 1 element).
2) 0 duplicate locator definitions across Page Objects; ≥1 shared step or fixture reused by ≥2 tests.
3) 0 guessed selectors (locator absent from KB and unverified).</t>
  </si>
  <si>
    <t>Test code; KB element map; locator-check log</t>
  </si>
  <si>
    <t>Locator `#submit-btn` not in KB and never verified; the same login steps copied into every spec.</t>
  </si>
  <si>
    <t>SCR-O4</t>
  </si>
  <si>
    <t>1) Each test passes in 3 consecutive runs (0 flaky) in the run log.
2) Transcript shows the debug loop (failed run → diagnosis → fix → re-run) until pass.
3) 100% of tests carry the manual test case ID (tag, annotation or title) for traceability.
4) Deliverables present: test code, test data file, execution report (HTML/JSON).
5) Human review recorded before merge.</t>
  </si>
  <si>
    <t>Run logs; test code; report; review record</t>
  </si>
  <si>
    <t>Single green run only; test without a manual TC ID; test data hardcoded inside the spec.</t>
  </si>
  <si>
    <t>SCR-O5</t>
  </si>
  <si>
    <t>1) Tests were generated from requirements or manual test cases and executed in CI with no human prompt.
2) ≥1 broken locator was repaired automatically (commit shows before/after locator and the healed test passes).
3) Failures were triaged automatically with a classification recorded in the log.
4) Maintenance runs on a schedule or trigger; the only human action is final approval.</t>
  </si>
  <si>
    <t>CI config; pipeline logs; commit history</t>
  </si>
  <si>
    <t>Locator fixed by a person; CI run started manually; failures left unclassified.</t>
  </si>
  <si>
    <t>REV-O1</t>
  </si>
  <si>
    <t>1) ≥1 AI-generated review comment on code exists in chat.</t>
  </si>
  <si>
    <t>No AI-generated review comment.</t>
  </si>
  <si>
    <t>REV-O2</t>
  </si>
  <si>
    <t>1) Report uses the team review template; every finding has file:line, category (from the team checklist), severity, issue and suggested fix.
2) 0 findings without a file:line reference.
3) Every checklist item has a status (Pass / Finding / N/A).</t>
  </si>
  <si>
    <t>Review report; skill assets/ template</t>
  </si>
  <si>
    <t>A comment like "improve naming" with no location; a checklist item skipped.</t>
  </si>
  <si>
    <t>REV-O3</t>
  </si>
  <si>
    <t>1) 100% of findings cite a rule ID/section of the KB coding standard.
2) Duplicated logic is flagged with the path of the existing helper (verified by search in the repo).
3) ≥90% of up to 10 sampled findings are confirmed valid by the grader.</t>
  </si>
  <si>
    <t>Review report; KB files; repo search</t>
  </si>
  <si>
    <t>Finding cites no rule; helper path does not exist; ≥2 of 10 sampled findings are wrong.</t>
  </si>
  <si>
    <t>REV-O4</t>
  </si>
  <si>
    <t>1) Fixes are applied on a separate branch/commit from the original code.
2) Lint, `tsc` and affected tests run before and after the fix; results recorded; after-fix = all pass.
3) Deliverables present: review report, patch/commit, before/after results.
4) Any optimization claim (e.g., faster run) shows measured before/after numbers.
5) Human acceptance recorded.</t>
  </si>
  <si>
    <t>Git history; run logs; review record</t>
  </si>
  <si>
    <t>A fix breaks a test; "30% faster" claimed without numbers; fixes pushed onto the original commit.</t>
  </si>
  <si>
    <t>REV-O5</t>
  </si>
  <si>
    <t>1) Review started automatically on ≥2 merge requests with no human prompt.
2) Inline comments were posted on MR lines by the orchestrator.
3) A quality-gate verdict (pass/block) was posted per MR according to a defined rule.
4) A weekly review-trend report was published automatically; the only human action is final approval.</t>
  </si>
  <si>
    <t>CI config; MR comments; run logs</t>
  </si>
  <si>
    <t>Review started by pasting the diff; verdict missing; no trend report.</t>
  </si>
  <si>
    <t>EXE-O1</t>
  </si>
  <si>
    <t>1) ≥1 AI-generated execution plan or run command exists in chat.</t>
  </si>
  <si>
    <t>No AI-generated plan or command.</t>
  </si>
  <si>
    <t>EXE-O2</t>
  </si>
  <si>
    <t>1) Plan has all template sections: Scope, Environment, Test data prerequisites, Browsers/projects, Workers/shards/retries, Entry criteria, Exit criteria, Run commands, Risks; each non-empty or "N/A — reason".
2) Every command is valid: the same arguments with `npx playwright test --list` exit 0.
3) The test count stated in Scope equals the `--list` count.</t>
  </si>
  <si>
    <t>Plan document; command output</t>
  </si>
  <si>
    <t>Scope "run regression" with no tags/specs; unknown `--project` name; test count off.</t>
  </si>
  <si>
    <t>EXE-O3</t>
  </si>
  <si>
    <t>1) Every included/excluded test group has a reason that cites KB data (duration history, flaky list, change impact).
2) Worker/shard settings are derived from KB durations and include an estimated total duration.
3) Environment and test-data readiness is checked against the KB; each unmet prerequisite is flagged.</t>
  </si>
  <si>
    <t>Plan document; KB files</t>
  </si>
  <si>
    <t>Scope chosen without reason; arbitrary shard count; environment marked down in KB but plan says ready.</t>
  </si>
  <si>
    <t>EXE-O4</t>
  </si>
  <si>
    <t>1) The agent executed the plan; the run log has start/end time and passed/failed/skipped/flaky counts that match the report JSON.
2) Monitoring entries (progress snapshots or event log) exist, and stop/retry actions required by the exit criteria were taken and logged.
3) Final status report compares results with the exit criteria and proposes Go/No-go.
4) Human review recorded.</t>
  </si>
  <si>
    <t>Run log; report JSON; status report</t>
  </si>
  <si>
    <t>Counts differ from the report; threshold breached but run not stopped; no Go/No-go.</t>
  </si>
  <si>
    <t>EXE-O5</t>
  </si>
  <si>
    <t>1) Run started automatically by schedule or event (e.g., nightly, post-deploy) ≥2 times.
2) Test selection, sharding, execution and monitoring ran unattended.
3) Start/finish/threshold-breach notifications were sent automatically to the team channel or email.
4) Flaky reruns follow a stated policy and are logged; the only human action is final approval.</t>
  </si>
  <si>
    <t>CI/scheduler config; run logs; notification logs</t>
  </si>
  <si>
    <t>Plan or run started by a person; notification sent manually.</t>
  </si>
  <si>
    <t>RES-O1</t>
  </si>
  <si>
    <t>1) ≥1 AI-generated summary of run logs/results exists in chat.</t>
  </si>
  <si>
    <t>No AI-generated summary.</t>
  </si>
  <si>
    <t>RES-O2</t>
  </si>
  <si>
    <t>1) Report has all template sections: Execution Summary, Failure List, Classification, Evidence, Recommendations.
2) Summary figures (total, passed, failed, skipped, duration) match the source report 100%.
3) Every failure is listed with test name, verbatim error message, a class from the fixed taxonomy (Product bug / Script / Environment / Test data / Flaky / Unknown) and an evidence path; 0 failures omitted.</t>
  </si>
  <si>
    <t>Report; source run report</t>
  </si>
  <si>
    <t>Failed count 12 in the report vs 14 in the JSON; paraphrased error message; a failure without a class.</t>
  </si>
  <si>
    <t>RES-O3</t>
  </si>
  <si>
    <t>1) Each failure is marked Known or New by checking the known-issue KB.
2) Trend covers ≥5 prior runs (pass rate, duration, top failing tests) and the numbers match run history.
3) Every root-cause statement is labeled Fact, Assumption or Hypothesis; 0 unlabeled.
4) A test is labeled Flaky only when run history shows pass and fail on the same commit.</t>
  </si>
  <si>
    <t>Report; KB files; run history</t>
  </si>
  <si>
    <t>Known issue reported as new; trend built from 2 runs; root cause stated as fact without evidence.</t>
  </si>
  <si>
    <t>RES-O4</t>
  </si>
  <si>
    <t>1) The agent read the raw artifacts itself (JSON/JUnit, traces, screenshots, logs) and produced the final report, recommendations and a draft defect list.
2) 100% of up to 10 sampled claims in the report trace to an evidence path.
3) Human review recorded before the report is published.</t>
  </si>
  <si>
    <t>Transcript; report; review record</t>
  </si>
  <si>
    <t>A claim with no evidence path; defect list missing.</t>
  </si>
  <si>
    <t>RES-O5</t>
  </si>
  <si>
    <t>1) Analysis started automatically after ≥2 runs.
2) The report was published automatically to the dashboard or channel.
3) Auto-triage ran: classification, known-issue linking, one rerun of suspected flaky tests, escalation of product bugs to defect creation.
4) A weekly trend report was generated automatically; the only human action is final approval.</t>
  </si>
  <si>
    <t>CI/scheduler config; run logs; published report</t>
  </si>
  <si>
    <t>Analysis requested by hand; flaky rerun not logged; no escalation.</t>
  </si>
  <si>
    <t>DEF-O1</t>
  </si>
  <si>
    <t>1) ≥1 AI-generated bug description exists in chat.</t>
  </si>
  <si>
    <t>No AI-generated bug description.</t>
  </si>
  <si>
    <t>DEF-O2</t>
  </si>
  <si>
    <t>1) All mandatory fields of the team bug template are filled.
2) Steps to Reproduce are numbered, start from an explicit initial state, and another person can follow them.
3) Expected Result and Observed Result are both present and differ.
4) Severity and Priority use allowed template values, each with its own reason.
5) Build/browser/OS values are filled only if present in the source evidence; otherwise blank with "not provided"; 0 fabricated values.</t>
  </si>
  <si>
    <t>Bug report; template; source evidence</t>
  </si>
  <si>
    <t>Steps = "Login and click Save" from no initial state; Observed missing; Priority without reason; Chrome version invented.</t>
  </si>
  <si>
    <t>DEF-O3</t>
  </si>
  <si>
    <t>1) A duplicate check against existing bugs is recorded (searched IDs or "no match"); 0 duplicates created.
2) Module/keyword values come from the controlled list; the related test case ID or test name is linked.
3) Severity and Priority reasons each cite a rule of the KB guideline.</t>
  </si>
  <si>
    <t>Bug report; KB files; bug tracker search</t>
  </si>
  <si>
    <t>Same bug filed twice; module typed freely; reason says only "high impact".</t>
  </si>
  <si>
    <t>DEF-O4</t>
  </si>
  <si>
    <t>1) 100% of bugs have evidence attached: screenshot, trace.zip or log excerpt, failing test name and run ID.
2) A reproduction re-run is recorded and the Reproducibility value (e.g., 3/3) matches the log.
3) Deliverables present: bug report, evidence, duplicate check, reproduction result.
4) Human review recorded before submission.</t>
  </si>
  <si>
    <t>Bug report; attachments; run log; review record</t>
  </si>
  <si>
    <t>Reproducibility "Always" with no re-run; trace missing; run ID not given.</t>
  </si>
  <si>
    <t>DEF-O5</t>
  </si>
  <si>
    <t>1) Bugs were created automatically in the tracker on trigger (failure classified Product bug) ≥2 times.
2) A recurrence updates the existing bug (comment or occurrence count) instead of creating a new one.
3) Fields are auto-filled including links to the run and the test case; assignee is set by a stated rule.
4) The only human action is final approval.</t>
  </si>
  <si>
    <t>CI/scheduler config; tracker audit log</t>
  </si>
  <si>
    <t>Bug created by hand; recurrence creates a duplicate; no link to the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</si>
</sst>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charset val="1"/>
    </font>
    <font>
      <b/>
      <sz val="14"/>
      <color rgb="FF1F3864"/>
      <name val="Arial"/>
      <charset val="1"/>
    </font>
    <font>
      <b/>
      <sz val="10"/>
      <name val="Arial"/>
      <charset val="1"/>
    </font>
    <font>
      <sz val="10"/>
      <name val="Arial"/>
      <charset val="1"/>
    </font>
    <font>
      <i/>
      <sz val="9"/>
      <name val="Arial"/>
      <charset val="1"/>
    </font>
    <font>
      <b/>
      <sz val="10"/>
      <color rgb="FFFFFFFF"/>
      <name val="Arial"/>
      <charset val="1"/>
    </font>
  </fonts>
  <fills count="6">
    <fill>
      <patternFill patternType="none"/>
    </fill>
    <fill>
      <patternFill patternType="gray125"/>
    </fill>
    <fill>
      <patternFill patternType="solid">
        <fgColor rgb="FFD9E2F3"/>
        <bgColor rgb="FFF2F2F2"/>
      </patternFill>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3" fillId="0" borderId="1" xfId="0" applyFont="1" applyBorder="1" applyAlignment="1">
      <alignment vertical="top" wrapText="1"/>
    </xf>
    <xf numFmtId="0" fontId="5" fillId="4" borderId="1" xfId="0" applyFont="1" applyFill="1" applyBorder="1" applyAlignment="1">
      <alignment horizontal="center" vertical="top" wrapText="1"/>
    </xf>
    <xf numFmtId="0" fontId="2" fillId="2" borderId="1" xfId="0" applyFont="1" applyFill="1" applyBorder="1" applyAlignment="1">
      <alignment vertical="top" wrapText="1"/>
    </xf>
    <xf numFmtId="0" fontId="4" fillId="0" borderId="0" xfId="0" applyFont="1" applyBorder="1" applyAlignment="1">
      <alignment vertical="top" wrapText="1"/>
    </xf>
    <xf numFmtId="0" fontId="2" fillId="0" borderId="0" xfId="0" applyFont="1" applyBorder="1"/>
    <xf numFmtId="0" fontId="1" fillId="0" borderId="0" xfId="0" applyFont="1"/>
    <xf numFmtId="0" fontId="2" fillId="2" borderId="1" xfId="0" applyFont="1" applyFill="1" applyBorder="1" applyAlignment="1">
      <alignment vertical="top" wrapText="1"/>
    </xf>
    <xf numFmtId="0" fontId="3" fillId="0" borderId="1" xfId="0" applyFont="1" applyBorder="1" applyAlignment="1">
      <alignment vertical="top" wrapText="1"/>
    </xf>
    <xf numFmtId="164" fontId="3" fillId="3" borderId="1" xfId="0" applyNumberFormat="1" applyFont="1" applyFill="1" applyBorder="1"/>
    <xf numFmtId="0" fontId="5" fillId="4" borderId="1" xfId="0" applyFont="1" applyFill="1" applyBorder="1" applyAlignment="1">
      <alignment horizontal="center" vertical="top" wrapText="1"/>
    </xf>
    <xf numFmtId="9" fontId="3"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2" fontId="3" fillId="0" borderId="1" xfId="0" applyNumberFormat="1" applyFont="1" applyBorder="1" applyAlignment="1">
      <alignment horizontal="center" vertical="top" wrapText="1"/>
    </xf>
    <xf numFmtId="0" fontId="3" fillId="3" borderId="1" xfId="0" applyFont="1" applyFill="1" applyBorder="1" applyAlignment="1">
      <alignment vertical="top" wrapText="1"/>
    </xf>
    <xf numFmtId="2" fontId="2" fillId="2" borderId="1"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2" fillId="0" borderId="1" xfId="0" applyFont="1" applyBorder="1" applyAlignment="1">
      <alignment vertical="top" wrapText="1"/>
    </xf>
    <xf numFmtId="0" fontId="4" fillId="0" borderId="0" xfId="0" applyFont="1"/>
    <xf numFmtId="0" fontId="3" fillId="3" borderId="1" xfId="0" applyFont="1" applyFill="1" applyBorder="1" applyAlignment="1">
      <alignment horizontal="center"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3" fillId="5" borderId="1" xfId="0" applyFont="1" applyFill="1" applyBorder="1" applyAlignment="1">
      <alignment horizontal="center" vertical="top" wrapText="1"/>
    </xf>
  </cellXfs>
  <cellStyles count="1">
    <cellStyle name="Normal" xfId="0" builtinId="0"/>
  </cellStyles>
  <dxfs count="4">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showGridLines="0" zoomScaleNormal="100" workbookViewId="0">
      <selection activeCell="B12" sqref="B12"/>
    </sheetView>
  </sheetViews>
  <sheetFormatPr defaultColWidth="8.7109375" defaultRowHeight="15" x14ac:dyDescent="0.25"/>
  <cols>
    <col min="1" max="1" width="28" customWidth="1"/>
    <col min="2" max="2" width="110" customWidth="1"/>
  </cols>
  <sheetData>
    <row r="1" spans="1:2" ht="18" x14ac:dyDescent="0.25">
      <c r="A1" s="6" t="s">
        <v>0</v>
      </c>
    </row>
    <row r="3" spans="1:2" ht="30.75" customHeight="1" x14ac:dyDescent="0.25">
      <c r="A3" s="7" t="s">
        <v>1</v>
      </c>
      <c r="B3" s="8" t="s">
        <v>2</v>
      </c>
    </row>
    <row r="4" spans="1:2" ht="30.75" customHeight="1" x14ac:dyDescent="0.25">
      <c r="A4" s="7" t="s">
        <v>3</v>
      </c>
      <c r="B4" s="8" t="s">
        <v>4</v>
      </c>
    </row>
    <row r="5" spans="1:2" ht="44.25" customHeight="1" x14ac:dyDescent="0.25">
      <c r="A5" s="7" t="s">
        <v>5</v>
      </c>
      <c r="B5" s="8" t="s">
        <v>6</v>
      </c>
    </row>
    <row r="6" spans="1:2" ht="84.75" customHeight="1" x14ac:dyDescent="0.25">
      <c r="A6" s="7" t="s">
        <v>7</v>
      </c>
      <c r="B6" s="8" t="s">
        <v>8</v>
      </c>
    </row>
    <row r="7" spans="1:2" ht="44.25" customHeight="1" x14ac:dyDescent="0.25">
      <c r="A7" s="7" t="s">
        <v>9</v>
      </c>
      <c r="B7" s="8" t="s">
        <v>10</v>
      </c>
    </row>
    <row r="8" spans="1:2" ht="30.75" customHeight="1" x14ac:dyDescent="0.25">
      <c r="A8" s="7" t="s">
        <v>11</v>
      </c>
      <c r="B8" s="8" t="s">
        <v>12</v>
      </c>
    </row>
    <row r="9" spans="1:2" ht="44.25" customHeight="1" x14ac:dyDescent="0.25">
      <c r="A9" s="7" t="s">
        <v>13</v>
      </c>
      <c r="B9" s="8" t="s">
        <v>14</v>
      </c>
    </row>
    <row r="10" spans="1:2" ht="30.75" customHeight="1" x14ac:dyDescent="0.25">
      <c r="A10" s="7" t="s">
        <v>15</v>
      </c>
      <c r="B10" s="8" t="s">
        <v>16</v>
      </c>
    </row>
    <row r="11" spans="1:2" ht="44.25" customHeight="1" x14ac:dyDescent="0.25">
      <c r="A11" s="7" t="s">
        <v>17</v>
      </c>
      <c r="B11" s="8" t="s">
        <v>18</v>
      </c>
    </row>
    <row r="12" spans="1:2" ht="57.75" customHeight="1" x14ac:dyDescent="0.25">
      <c r="A12" s="7" t="s">
        <v>19</v>
      </c>
      <c r="B12" s="8"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showGridLines="0" zoomScaleNormal="100" workbookViewId="0">
      <pane ySplit="4" topLeftCell="A5" activePane="bottomLeft" state="frozen"/>
      <selection pane="bottomLeft" activeCell="G5" sqref="G5"/>
    </sheetView>
  </sheetViews>
  <sheetFormatPr defaultColWidth="8.7109375" defaultRowHeight="15" x14ac:dyDescent="0.25"/>
  <cols>
    <col min="1" max="1" width="24" customWidth="1"/>
    <col min="2" max="2" width="26" customWidth="1"/>
    <col min="3" max="3" width="46" customWidth="1"/>
    <col min="4" max="4" width="12" customWidth="1"/>
    <col min="5" max="5" width="11" customWidth="1"/>
    <col min="6" max="6" width="12" customWidth="1"/>
    <col min="7" max="7" width="11" customWidth="1"/>
    <col min="8" max="8" width="12" customWidth="1"/>
    <col min="9" max="9" width="36" customWidth="1"/>
    <col min="10" max="10" width="14" customWidth="1"/>
  </cols>
  <sheetData>
    <row r="1" spans="1:10" ht="18" x14ac:dyDescent="0.25">
      <c r="A1" s="6" t="s">
        <v>21</v>
      </c>
    </row>
    <row r="2" spans="1:10" ht="37.5" customHeight="1" x14ac:dyDescent="0.25">
      <c r="A2" s="5" t="s">
        <v>22</v>
      </c>
      <c r="B2" s="5"/>
      <c r="C2" s="5"/>
      <c r="D2" s="9">
        <v>3</v>
      </c>
      <c r="E2" s="4" t="s">
        <v>23</v>
      </c>
      <c r="F2" s="4"/>
      <c r="G2" s="4"/>
      <c r="H2" s="4"/>
      <c r="I2" s="4"/>
      <c r="J2" s="4"/>
    </row>
    <row r="4" spans="1:10" ht="25.5" x14ac:dyDescent="0.25">
      <c r="A4" s="10" t="s">
        <v>24</v>
      </c>
      <c r="B4" s="10" t="s">
        <v>25</v>
      </c>
      <c r="C4" s="10" t="s">
        <v>26</v>
      </c>
      <c r="D4" s="10" t="s">
        <v>27</v>
      </c>
      <c r="E4" s="10" t="s">
        <v>28</v>
      </c>
      <c r="F4" s="10" t="s">
        <v>29</v>
      </c>
      <c r="G4" s="10" t="s">
        <v>30</v>
      </c>
      <c r="H4" s="10" t="s">
        <v>31</v>
      </c>
      <c r="I4" s="10" t="s">
        <v>32</v>
      </c>
      <c r="J4" s="10" t="s">
        <v>33</v>
      </c>
    </row>
    <row r="5" spans="1:10" ht="30" customHeight="1" x14ac:dyDescent="0.25">
      <c r="A5" s="8" t="s">
        <v>34</v>
      </c>
      <c r="B5" s="8" t="s">
        <v>35</v>
      </c>
      <c r="C5" s="8" t="s">
        <v>36</v>
      </c>
      <c r="D5" s="11">
        <v>0.8</v>
      </c>
      <c r="E5" s="12" t="str">
        <f>IF(COUNTA(Skill_Criteria!I5:I9)=0,"",IF(Skill_Criteria!I5&lt;&gt;"Pass",0,IF(Skill_Criteria!I6&lt;&gt;"Pass",1,IF(Skill_Criteria!I7&lt;&gt;"Pass",2,IF(Skill_Criteria!I8&lt;&gt;"Pass",3,IF(Skill_Criteria!I9&lt;&gt;"Pass",4,5))))))</f>
        <v/>
      </c>
      <c r="F5" s="11">
        <v>0.2</v>
      </c>
      <c r="G5" s="12" t="str">
        <f>IF(COUNTA(Output_Criteria!I5:I9)=0,"",IF(Output_Criteria!I5&lt;&gt;"Pass",0,IF(Output_Criteria!I6&lt;&gt;"Pass",1,IF(Output_Criteria!I7&lt;&gt;"Pass",2,IF(Output_Criteria!I8&lt;&gt;"Pass",3,IF(Output_Criteria!I9&lt;&gt;"Pass",4,5))))))</f>
        <v/>
      </c>
      <c r="H5" s="13" t="str">
        <f t="shared" ref="H5:H11" si="0">IF(OR(E5="",G5=""),"",D5*E5+F5*G5)</f>
        <v/>
      </c>
      <c r="I5" s="14"/>
      <c r="J5" s="12" t="str">
        <f t="shared" ref="J5:J11" si="1">IF(H5="","",IF(H5&gt;=$D$2,"Yes","No"))</f>
        <v/>
      </c>
    </row>
    <row r="6" spans="1:10" ht="30" customHeight="1" x14ac:dyDescent="0.25">
      <c r="A6" s="8" t="s">
        <v>37</v>
      </c>
      <c r="B6" s="8" t="s">
        <v>38</v>
      </c>
      <c r="C6" s="8" t="s">
        <v>39</v>
      </c>
      <c r="D6" s="11">
        <v>0.8</v>
      </c>
      <c r="E6" s="12" t="str">
        <f>IF(COUNTA(Skill_Criteria!I10:I14)=0,"",IF(Skill_Criteria!I10&lt;&gt;"Pass",0,IF(Skill_Criteria!I11&lt;&gt;"Pass",1,IF(Skill_Criteria!I12&lt;&gt;"Pass",2,IF(Skill_Criteria!I13&lt;&gt;"Pass",3,IF(Skill_Criteria!I14&lt;&gt;"Pass",4,5))))))</f>
        <v/>
      </c>
      <c r="F6" s="11">
        <v>0.2</v>
      </c>
      <c r="G6" s="12" t="str">
        <f>IF(COUNTA(Output_Criteria!I10:I14)=0,"",IF(Output_Criteria!I10&lt;&gt;"Pass",0,IF(Output_Criteria!I11&lt;&gt;"Pass",1,IF(Output_Criteria!I12&lt;&gt;"Pass",2,IF(Output_Criteria!I13&lt;&gt;"Pass",3,IF(Output_Criteria!I14&lt;&gt;"Pass",4,5))))))</f>
        <v/>
      </c>
      <c r="H6" s="13" t="str">
        <f t="shared" si="0"/>
        <v/>
      </c>
      <c r="I6" s="14"/>
      <c r="J6" s="12" t="str">
        <f t="shared" si="1"/>
        <v/>
      </c>
    </row>
    <row r="7" spans="1:10" ht="30" customHeight="1" x14ac:dyDescent="0.25">
      <c r="A7" s="8" t="s">
        <v>37</v>
      </c>
      <c r="B7" s="8" t="s">
        <v>40</v>
      </c>
      <c r="C7" s="8" t="s">
        <v>41</v>
      </c>
      <c r="D7" s="11">
        <v>0.8</v>
      </c>
      <c r="E7" s="12" t="str">
        <f>IF(COUNTA(Skill_Criteria!I15:I19)=0,"",IF(Skill_Criteria!I15&lt;&gt;"Pass",0,IF(Skill_Criteria!I16&lt;&gt;"Pass",1,IF(Skill_Criteria!I17&lt;&gt;"Pass",2,IF(Skill_Criteria!I18&lt;&gt;"Pass",3,IF(Skill_Criteria!I19&lt;&gt;"Pass",4,5))))))</f>
        <v/>
      </c>
      <c r="F7" s="11">
        <v>0.2</v>
      </c>
      <c r="G7" s="12" t="str">
        <f>IF(COUNTA(Output_Criteria!I15:I19)=0,"",IF(Output_Criteria!I15&lt;&gt;"Pass",0,IF(Output_Criteria!I16&lt;&gt;"Pass",1,IF(Output_Criteria!I17&lt;&gt;"Pass",2,IF(Output_Criteria!I18&lt;&gt;"Pass",3,IF(Output_Criteria!I19&lt;&gt;"Pass",4,5))))))</f>
        <v/>
      </c>
      <c r="H7" s="13" t="str">
        <f t="shared" si="0"/>
        <v/>
      </c>
      <c r="I7" s="14"/>
      <c r="J7" s="12" t="str">
        <f t="shared" si="1"/>
        <v/>
      </c>
    </row>
    <row r="8" spans="1:10" ht="30" customHeight="1" x14ac:dyDescent="0.25">
      <c r="A8" s="8" t="s">
        <v>37</v>
      </c>
      <c r="B8" s="8" t="s">
        <v>42</v>
      </c>
      <c r="C8" s="8" t="s">
        <v>43</v>
      </c>
      <c r="D8" s="11">
        <v>0.8</v>
      </c>
      <c r="E8" s="12" t="str">
        <f>IF(COUNTA(Skill_Criteria!I20:I24)=0,"",IF(Skill_Criteria!I20&lt;&gt;"Pass",0,IF(Skill_Criteria!I21&lt;&gt;"Pass",1,IF(Skill_Criteria!I22&lt;&gt;"Pass",2,IF(Skill_Criteria!I23&lt;&gt;"Pass",3,IF(Skill_Criteria!I24&lt;&gt;"Pass",4,5))))))</f>
        <v/>
      </c>
      <c r="F8" s="11">
        <v>0.2</v>
      </c>
      <c r="G8" s="12" t="str">
        <f>IF(COUNTA(Output_Criteria!I20:I24)=0,"",IF(Output_Criteria!I20&lt;&gt;"Pass",0,IF(Output_Criteria!I21&lt;&gt;"Pass",1,IF(Output_Criteria!I22&lt;&gt;"Pass",2,IF(Output_Criteria!I23&lt;&gt;"Pass",3,IF(Output_Criteria!I24&lt;&gt;"Pass",4,5))))))</f>
        <v/>
      </c>
      <c r="H8" s="13" t="str">
        <f t="shared" si="0"/>
        <v/>
      </c>
      <c r="I8" s="14"/>
      <c r="J8" s="12" t="str">
        <f t="shared" si="1"/>
        <v/>
      </c>
    </row>
    <row r="9" spans="1:10" ht="30" customHeight="1" x14ac:dyDescent="0.25">
      <c r="A9" s="8" t="s">
        <v>44</v>
      </c>
      <c r="B9" s="8" t="s">
        <v>45</v>
      </c>
      <c r="C9" s="8" t="s">
        <v>46</v>
      </c>
      <c r="D9" s="11">
        <v>0.8</v>
      </c>
      <c r="E9" s="12" t="str">
        <f>IF(COUNTA(Skill_Criteria!I25:I29)=0,"",IF(Skill_Criteria!I25&lt;&gt;"Pass",0,IF(Skill_Criteria!I26&lt;&gt;"Pass",1,IF(Skill_Criteria!I27&lt;&gt;"Pass",2,IF(Skill_Criteria!I28&lt;&gt;"Pass",3,IF(Skill_Criteria!I29&lt;&gt;"Pass",4,5))))))</f>
        <v/>
      </c>
      <c r="F9" s="11">
        <v>0.2</v>
      </c>
      <c r="G9" s="12" t="str">
        <f>IF(COUNTA(Output_Criteria!I25:I29)=0,"",IF(Output_Criteria!I25&lt;&gt;"Pass",0,IF(Output_Criteria!I26&lt;&gt;"Pass",1,IF(Output_Criteria!I27&lt;&gt;"Pass",2,IF(Output_Criteria!I28&lt;&gt;"Pass",3,IF(Output_Criteria!I29&lt;&gt;"Pass",4,5))))))</f>
        <v/>
      </c>
      <c r="H9" s="13" t="str">
        <f t="shared" si="0"/>
        <v/>
      </c>
      <c r="I9" s="14"/>
      <c r="J9" s="12" t="str">
        <f t="shared" si="1"/>
        <v/>
      </c>
    </row>
    <row r="10" spans="1:10" ht="30" customHeight="1" x14ac:dyDescent="0.25">
      <c r="A10" s="8" t="s">
        <v>44</v>
      </c>
      <c r="B10" s="8" t="s">
        <v>47</v>
      </c>
      <c r="C10" s="8" t="s">
        <v>48</v>
      </c>
      <c r="D10" s="11">
        <v>0.8</v>
      </c>
      <c r="E10" s="12" t="str">
        <f>IF(COUNTA(Skill_Criteria!I30:I34)=0,"",IF(Skill_Criteria!I30&lt;&gt;"Pass",0,IF(Skill_Criteria!I31&lt;&gt;"Pass",1,IF(Skill_Criteria!I32&lt;&gt;"Pass",2,IF(Skill_Criteria!I33&lt;&gt;"Pass",3,IF(Skill_Criteria!I34&lt;&gt;"Pass",4,5))))))</f>
        <v/>
      </c>
      <c r="F10" s="11">
        <v>0.2</v>
      </c>
      <c r="G10" s="12" t="str">
        <f>IF(COUNTA(Output_Criteria!I30:I34)=0,"",IF(Output_Criteria!I30&lt;&gt;"Pass",0,IF(Output_Criteria!I31&lt;&gt;"Pass",1,IF(Output_Criteria!I32&lt;&gt;"Pass",2,IF(Output_Criteria!I33&lt;&gt;"Pass",3,IF(Output_Criteria!I34&lt;&gt;"Pass",4,5))))))</f>
        <v/>
      </c>
      <c r="H10" s="13" t="str">
        <f t="shared" si="0"/>
        <v/>
      </c>
      <c r="I10" s="14"/>
      <c r="J10" s="12" t="str">
        <f t="shared" si="1"/>
        <v/>
      </c>
    </row>
    <row r="11" spans="1:10" ht="30" customHeight="1" x14ac:dyDescent="0.25">
      <c r="A11" s="8" t="s">
        <v>49</v>
      </c>
      <c r="B11" s="8" t="s">
        <v>50</v>
      </c>
      <c r="C11" s="8" t="s">
        <v>51</v>
      </c>
      <c r="D11" s="11">
        <v>0.8</v>
      </c>
      <c r="E11" s="12" t="str">
        <f>IF(COUNTA(Skill_Criteria!I35:I39)=0,"",IF(Skill_Criteria!I35&lt;&gt;"Pass",0,IF(Skill_Criteria!I36&lt;&gt;"Pass",1,IF(Skill_Criteria!I37&lt;&gt;"Pass",2,IF(Skill_Criteria!I38&lt;&gt;"Pass",3,IF(Skill_Criteria!I39&lt;&gt;"Pass",4,5))))))</f>
        <v/>
      </c>
      <c r="F11" s="11">
        <v>0.2</v>
      </c>
      <c r="G11" s="12" t="str">
        <f>IF(COUNTA(Output_Criteria!I35:I39)=0,"",IF(Output_Criteria!I35&lt;&gt;"Pass",0,IF(Output_Criteria!I36&lt;&gt;"Pass",1,IF(Output_Criteria!I37&lt;&gt;"Pass",2,IF(Output_Criteria!I38&lt;&gt;"Pass",3,IF(Output_Criteria!I39&lt;&gt;"Pass",4,5))))))</f>
        <v/>
      </c>
      <c r="H11" s="13" t="str">
        <f t="shared" si="0"/>
        <v/>
      </c>
      <c r="I11" s="14"/>
      <c r="J11" s="12" t="str">
        <f t="shared" si="1"/>
        <v/>
      </c>
    </row>
    <row r="12" spans="1:10" ht="15" customHeight="1" x14ac:dyDescent="0.25">
      <c r="A12" s="3" t="s">
        <v>52</v>
      </c>
      <c r="B12" s="3"/>
      <c r="C12" s="3"/>
      <c r="D12" s="3"/>
      <c r="E12" s="3"/>
      <c r="F12" s="3"/>
      <c r="G12" s="3"/>
      <c r="H12" s="15" t="str">
        <f>IFERROR(AVERAGE(H5:H11),"")</f>
        <v/>
      </c>
      <c r="I12" s="16"/>
      <c r="J12" s="16"/>
    </row>
    <row r="13" spans="1:10" ht="15" customHeight="1" x14ac:dyDescent="0.25">
      <c r="A13" s="3" t="s">
        <v>53</v>
      </c>
      <c r="B13" s="3"/>
      <c r="C13" s="3"/>
      <c r="D13" s="3"/>
      <c r="E13" s="3"/>
      <c r="F13" s="3"/>
      <c r="G13" s="3"/>
      <c r="H13" s="16" t="str">
        <f>IF(H12="","",ROUNDDOWN(H12,0))</f>
        <v/>
      </c>
      <c r="I13" s="16"/>
      <c r="J13" s="16"/>
    </row>
    <row r="15" spans="1:10" ht="15" customHeight="1" x14ac:dyDescent="0.25">
      <c r="A15" s="3" t="s">
        <v>54</v>
      </c>
      <c r="B15" s="3"/>
      <c r="C15" s="3"/>
      <c r="D15" s="3"/>
      <c r="E15" s="3"/>
      <c r="F15" s="3"/>
      <c r="G15" s="3"/>
      <c r="H15" s="3"/>
      <c r="I15" s="3"/>
      <c r="J15" s="3"/>
    </row>
    <row r="16" spans="1:10" ht="15" customHeight="1" x14ac:dyDescent="0.25">
      <c r="A16" s="10" t="s">
        <v>55</v>
      </c>
      <c r="B16" s="10" t="s">
        <v>56</v>
      </c>
      <c r="C16" s="2" t="s">
        <v>57</v>
      </c>
      <c r="D16" s="2"/>
      <c r="E16" s="2"/>
      <c r="F16" s="2"/>
      <c r="G16" s="2"/>
      <c r="H16" s="2"/>
      <c r="I16" s="2"/>
      <c r="J16" s="2"/>
    </row>
    <row r="17" spans="1:10" ht="30.75" customHeight="1" x14ac:dyDescent="0.25">
      <c r="A17" s="17" t="s">
        <v>58</v>
      </c>
      <c r="B17" s="17" t="s">
        <v>59</v>
      </c>
      <c r="C17" s="1" t="s">
        <v>60</v>
      </c>
      <c r="D17" s="1"/>
      <c r="E17" s="1"/>
      <c r="F17" s="1"/>
      <c r="G17" s="1"/>
      <c r="H17" s="1"/>
      <c r="I17" s="1"/>
      <c r="J17" s="1"/>
    </row>
    <row r="18" spans="1:10" ht="18" customHeight="1" x14ac:dyDescent="0.25">
      <c r="A18" s="17" t="s">
        <v>61</v>
      </c>
      <c r="B18" s="17" t="s">
        <v>62</v>
      </c>
      <c r="C18" s="1" t="s">
        <v>63</v>
      </c>
      <c r="D18" s="1"/>
      <c r="E18" s="1"/>
      <c r="F18" s="1"/>
      <c r="G18" s="1"/>
      <c r="H18" s="1"/>
      <c r="I18" s="1"/>
      <c r="J18" s="1"/>
    </row>
    <row r="19" spans="1:10" ht="30.75" customHeight="1" x14ac:dyDescent="0.25">
      <c r="A19" s="17" t="s">
        <v>64</v>
      </c>
      <c r="B19" s="17" t="s">
        <v>65</v>
      </c>
      <c r="C19" s="1" t="s">
        <v>66</v>
      </c>
      <c r="D19" s="1"/>
      <c r="E19" s="1"/>
      <c r="F19" s="1"/>
      <c r="G19" s="1"/>
      <c r="H19" s="1"/>
      <c r="I19" s="1"/>
      <c r="J19" s="1"/>
    </row>
    <row r="20" spans="1:10" ht="30.75" customHeight="1" x14ac:dyDescent="0.25">
      <c r="A20" s="17" t="s">
        <v>67</v>
      </c>
      <c r="B20" s="17" t="s">
        <v>68</v>
      </c>
      <c r="C20" s="1" t="s">
        <v>69</v>
      </c>
      <c r="D20" s="1"/>
      <c r="E20" s="1"/>
      <c r="F20" s="1"/>
      <c r="G20" s="1"/>
      <c r="H20" s="1"/>
      <c r="I20" s="1"/>
      <c r="J20" s="1"/>
    </row>
    <row r="21" spans="1:10" ht="18" customHeight="1" x14ac:dyDescent="0.25">
      <c r="A21" s="17" t="s">
        <v>70</v>
      </c>
      <c r="B21" s="17" t="s">
        <v>71</v>
      </c>
      <c r="C21" s="1" t="s">
        <v>72</v>
      </c>
      <c r="D21" s="1"/>
      <c r="E21" s="1"/>
      <c r="F21" s="1"/>
      <c r="G21" s="1"/>
      <c r="H21" s="1"/>
      <c r="I21" s="1"/>
      <c r="J21" s="1"/>
    </row>
    <row r="23" spans="1:10" ht="15" customHeight="1" x14ac:dyDescent="0.25">
      <c r="A23" s="3" t="s">
        <v>73</v>
      </c>
      <c r="B23" s="3"/>
      <c r="C23" s="3"/>
      <c r="D23" s="3"/>
      <c r="E23" s="3"/>
      <c r="F23" s="3"/>
      <c r="G23" s="3"/>
      <c r="H23" s="3"/>
      <c r="I23" s="3"/>
      <c r="J23" s="3"/>
    </row>
    <row r="24" spans="1:10" ht="15" customHeight="1" x14ac:dyDescent="0.25">
      <c r="A24" s="10" t="s">
        <v>55</v>
      </c>
      <c r="B24" s="10" t="s">
        <v>56</v>
      </c>
      <c r="C24" s="2" t="s">
        <v>57</v>
      </c>
      <c r="D24" s="2"/>
      <c r="E24" s="2"/>
      <c r="F24" s="2"/>
      <c r="G24" s="2"/>
      <c r="H24" s="2"/>
      <c r="I24" s="2"/>
      <c r="J24" s="2"/>
    </row>
    <row r="25" spans="1:10" ht="30.75" customHeight="1" x14ac:dyDescent="0.25">
      <c r="A25" s="17" t="s">
        <v>58</v>
      </c>
      <c r="B25" s="17" t="s">
        <v>74</v>
      </c>
      <c r="C25" s="1" t="s">
        <v>75</v>
      </c>
      <c r="D25" s="1"/>
      <c r="E25" s="1"/>
      <c r="F25" s="1"/>
      <c r="G25" s="1"/>
      <c r="H25" s="1"/>
      <c r="I25" s="1"/>
      <c r="J25" s="1"/>
    </row>
    <row r="26" spans="1:10" ht="30.75" customHeight="1" x14ac:dyDescent="0.25">
      <c r="A26" s="17" t="s">
        <v>61</v>
      </c>
      <c r="B26" s="17" t="s">
        <v>76</v>
      </c>
      <c r="C26" s="1" t="s">
        <v>77</v>
      </c>
      <c r="D26" s="1"/>
      <c r="E26" s="1"/>
      <c r="F26" s="1"/>
      <c r="G26" s="1"/>
      <c r="H26" s="1"/>
      <c r="I26" s="1"/>
      <c r="J26" s="1"/>
    </row>
    <row r="27" spans="1:10" ht="30.75" customHeight="1" x14ac:dyDescent="0.25">
      <c r="A27" s="17" t="s">
        <v>64</v>
      </c>
      <c r="B27" s="17" t="s">
        <v>78</v>
      </c>
      <c r="C27" s="1" t="s">
        <v>79</v>
      </c>
      <c r="D27" s="1"/>
      <c r="E27" s="1"/>
      <c r="F27" s="1"/>
      <c r="G27" s="1"/>
      <c r="H27" s="1"/>
      <c r="I27" s="1"/>
      <c r="J27" s="1"/>
    </row>
    <row r="28" spans="1:10" ht="30.75" customHeight="1" x14ac:dyDescent="0.25">
      <c r="A28" s="17" t="s">
        <v>67</v>
      </c>
      <c r="B28" s="17" t="s">
        <v>80</v>
      </c>
      <c r="C28" s="1" t="s">
        <v>81</v>
      </c>
      <c r="D28" s="1"/>
      <c r="E28" s="1"/>
      <c r="F28" s="1"/>
      <c r="G28" s="1"/>
      <c r="H28" s="1"/>
      <c r="I28" s="1"/>
      <c r="J28" s="1"/>
    </row>
    <row r="29" spans="1:10" ht="30.75" customHeight="1" x14ac:dyDescent="0.25">
      <c r="A29" s="17" t="s">
        <v>70</v>
      </c>
      <c r="B29" s="17" t="s">
        <v>82</v>
      </c>
      <c r="C29" s="1" t="s">
        <v>83</v>
      </c>
      <c r="D29" s="1"/>
      <c r="E29" s="1"/>
      <c r="F29" s="1"/>
      <c r="G29" s="1"/>
      <c r="H29" s="1"/>
      <c r="I29" s="1"/>
      <c r="J29" s="1"/>
    </row>
  </sheetData>
  <mergeCells count="18">
    <mergeCell ref="C27:J27"/>
    <mergeCell ref="C28:J28"/>
    <mergeCell ref="C29:J29"/>
    <mergeCell ref="C21:J21"/>
    <mergeCell ref="A23:J23"/>
    <mergeCell ref="C24:J24"/>
    <mergeCell ref="C25:J25"/>
    <mergeCell ref="C26:J26"/>
    <mergeCell ref="C16:J16"/>
    <mergeCell ref="C17:J17"/>
    <mergeCell ref="C18:J18"/>
    <mergeCell ref="C19:J19"/>
    <mergeCell ref="C20:J20"/>
    <mergeCell ref="A2:C2"/>
    <mergeCell ref="E2:J2"/>
    <mergeCell ref="A12:G12"/>
    <mergeCell ref="A13:G13"/>
    <mergeCell ref="A15:J1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showGridLines="0" tabSelected="1" zoomScaleNormal="100" workbookViewId="0">
      <pane xSplit="5" ySplit="4" topLeftCell="G5" activePane="bottomRight" state="frozen"/>
      <selection pane="topRight" activeCell="F1" sqref="F1"/>
      <selection pane="bottomLeft" activeCell="A5" sqref="A5"/>
      <selection pane="bottomRight" activeCell="G6" sqref="G6"/>
    </sheetView>
  </sheetViews>
  <sheetFormatPr defaultColWidth="8.7109375" defaultRowHeight="15" x14ac:dyDescent="0.25"/>
  <cols>
    <col min="1" max="1" width="10" customWidth="1"/>
    <col min="2" max="2" width="22" customWidth="1"/>
    <col min="3" max="3" width="24" customWidth="1"/>
    <col min="4" max="4" width="8" customWidth="1"/>
    <col min="5" max="5" width="26" customWidth="1"/>
    <col min="6" max="6" width="92" customWidth="1"/>
    <col min="7" max="7" width="30" customWidth="1"/>
    <col min="8" max="8" width="52" customWidth="1"/>
    <col min="9" max="9" width="13" customWidth="1"/>
    <col min="10" max="10" width="32" customWidth="1"/>
  </cols>
  <sheetData>
    <row r="1" spans="1:10" ht="18" x14ac:dyDescent="0.25">
      <c r="A1" s="6" t="s">
        <v>84</v>
      </c>
    </row>
    <row r="2" spans="1:10" x14ac:dyDescent="0.25">
      <c r="A2" s="18" t="s">
        <v>85</v>
      </c>
    </row>
    <row r="4" spans="1:10" ht="25.5" x14ac:dyDescent="0.25">
      <c r="A4" s="10" t="s">
        <v>86</v>
      </c>
      <c r="B4" s="10" t="s">
        <v>24</v>
      </c>
      <c r="C4" s="10" t="s">
        <v>25</v>
      </c>
      <c r="D4" s="10" t="s">
        <v>55</v>
      </c>
      <c r="E4" s="10" t="s">
        <v>87</v>
      </c>
      <c r="F4" s="10" t="s">
        <v>88</v>
      </c>
      <c r="G4" s="10" t="s">
        <v>89</v>
      </c>
      <c r="H4" s="10" t="s">
        <v>90</v>
      </c>
      <c r="I4" s="10" t="s">
        <v>91</v>
      </c>
      <c r="J4" s="10" t="s">
        <v>32</v>
      </c>
    </row>
    <row r="5" spans="1:10" ht="57.75" customHeight="1" x14ac:dyDescent="0.25">
      <c r="A5" s="17" t="s">
        <v>92</v>
      </c>
      <c r="B5" s="8" t="s">
        <v>34</v>
      </c>
      <c r="C5" s="8" t="s">
        <v>35</v>
      </c>
      <c r="D5" s="12">
        <v>1</v>
      </c>
      <c r="E5" s="17" t="s">
        <v>59</v>
      </c>
      <c r="F5" s="8" t="s">
        <v>93</v>
      </c>
      <c r="G5" s="8" t="s">
        <v>94</v>
      </c>
      <c r="H5" s="8" t="s">
        <v>95</v>
      </c>
      <c r="I5" s="19"/>
      <c r="J5" s="14"/>
    </row>
    <row r="6" spans="1:10" ht="213.75" customHeight="1" x14ac:dyDescent="0.25">
      <c r="A6" s="17" t="s">
        <v>96</v>
      </c>
      <c r="B6" s="8" t="s">
        <v>34</v>
      </c>
      <c r="C6" s="8" t="s">
        <v>35</v>
      </c>
      <c r="D6" s="12">
        <v>2</v>
      </c>
      <c r="E6" s="17" t="s">
        <v>62</v>
      </c>
      <c r="F6" s="8" t="s">
        <v>97</v>
      </c>
      <c r="G6" s="8" t="s">
        <v>98</v>
      </c>
      <c r="H6" s="8" t="s">
        <v>99</v>
      </c>
      <c r="I6" s="19"/>
      <c r="J6" s="14"/>
    </row>
    <row r="7" spans="1:10" ht="148.5" customHeight="1" x14ac:dyDescent="0.25">
      <c r="A7" s="17" t="s">
        <v>100</v>
      </c>
      <c r="B7" s="8" t="s">
        <v>34</v>
      </c>
      <c r="C7" s="8" t="s">
        <v>35</v>
      </c>
      <c r="D7" s="12">
        <v>3</v>
      </c>
      <c r="E7" s="17" t="s">
        <v>65</v>
      </c>
      <c r="F7" s="8" t="s">
        <v>101</v>
      </c>
      <c r="G7" s="8" t="s">
        <v>102</v>
      </c>
      <c r="H7" s="8" t="s">
        <v>103</v>
      </c>
      <c r="I7" s="19"/>
      <c r="J7" s="14"/>
    </row>
    <row r="8" spans="1:10" ht="148.5" customHeight="1" x14ac:dyDescent="0.25">
      <c r="A8" s="17" t="s">
        <v>104</v>
      </c>
      <c r="B8" s="8" t="s">
        <v>34</v>
      </c>
      <c r="C8" s="8" t="s">
        <v>35</v>
      </c>
      <c r="D8" s="12">
        <v>4</v>
      </c>
      <c r="E8" s="17" t="s">
        <v>68</v>
      </c>
      <c r="F8" s="8" t="s">
        <v>105</v>
      </c>
      <c r="G8" s="8" t="s">
        <v>106</v>
      </c>
      <c r="H8" s="8" t="s">
        <v>107</v>
      </c>
      <c r="I8" s="19"/>
      <c r="J8" s="14"/>
    </row>
    <row r="9" spans="1:10" ht="148.5" customHeight="1" x14ac:dyDescent="0.25">
      <c r="A9" s="17" t="s">
        <v>108</v>
      </c>
      <c r="B9" s="8" t="s">
        <v>34</v>
      </c>
      <c r="C9" s="8" t="s">
        <v>35</v>
      </c>
      <c r="D9" s="12">
        <v>5</v>
      </c>
      <c r="E9" s="17" t="s">
        <v>71</v>
      </c>
      <c r="F9" s="8" t="s">
        <v>109</v>
      </c>
      <c r="G9" s="8" t="s">
        <v>110</v>
      </c>
      <c r="H9" s="8" t="s">
        <v>111</v>
      </c>
      <c r="I9" s="19"/>
      <c r="J9" s="14"/>
    </row>
    <row r="10" spans="1:10" ht="57.75" customHeight="1" x14ac:dyDescent="0.25">
      <c r="A10" s="20" t="s">
        <v>112</v>
      </c>
      <c r="B10" s="21" t="s">
        <v>37</v>
      </c>
      <c r="C10" s="21" t="s">
        <v>38</v>
      </c>
      <c r="D10" s="22">
        <v>1</v>
      </c>
      <c r="E10" s="20" t="s">
        <v>59</v>
      </c>
      <c r="F10" s="21" t="s">
        <v>113</v>
      </c>
      <c r="G10" s="21" t="s">
        <v>94</v>
      </c>
      <c r="H10" s="21" t="s">
        <v>95</v>
      </c>
      <c r="I10" s="19"/>
      <c r="J10" s="14"/>
    </row>
    <row r="11" spans="1:10" ht="226.5" customHeight="1" x14ac:dyDescent="0.25">
      <c r="A11" s="20" t="s">
        <v>114</v>
      </c>
      <c r="B11" s="21" t="s">
        <v>37</v>
      </c>
      <c r="C11" s="21" t="s">
        <v>38</v>
      </c>
      <c r="D11" s="22">
        <v>2</v>
      </c>
      <c r="E11" s="20" t="s">
        <v>62</v>
      </c>
      <c r="F11" s="21" t="s">
        <v>115</v>
      </c>
      <c r="G11" s="21" t="s">
        <v>98</v>
      </c>
      <c r="H11" s="21" t="s">
        <v>99</v>
      </c>
      <c r="I11" s="19"/>
      <c r="J11" s="14"/>
    </row>
    <row r="12" spans="1:10" ht="148.5" customHeight="1" x14ac:dyDescent="0.25">
      <c r="A12" s="20" t="s">
        <v>116</v>
      </c>
      <c r="B12" s="21" t="s">
        <v>37</v>
      </c>
      <c r="C12" s="21" t="s">
        <v>38</v>
      </c>
      <c r="D12" s="22">
        <v>3</v>
      </c>
      <c r="E12" s="20" t="s">
        <v>65</v>
      </c>
      <c r="F12" s="21" t="s">
        <v>117</v>
      </c>
      <c r="G12" s="21" t="s">
        <v>102</v>
      </c>
      <c r="H12" s="21" t="s">
        <v>103</v>
      </c>
      <c r="I12" s="19"/>
      <c r="J12" s="14"/>
    </row>
    <row r="13" spans="1:10" ht="162" customHeight="1" x14ac:dyDescent="0.25">
      <c r="A13" s="20" t="s">
        <v>118</v>
      </c>
      <c r="B13" s="21" t="s">
        <v>37</v>
      </c>
      <c r="C13" s="21" t="s">
        <v>38</v>
      </c>
      <c r="D13" s="22">
        <v>4</v>
      </c>
      <c r="E13" s="20" t="s">
        <v>68</v>
      </c>
      <c r="F13" s="21" t="s">
        <v>119</v>
      </c>
      <c r="G13" s="21" t="s">
        <v>106</v>
      </c>
      <c r="H13" s="21" t="s">
        <v>107</v>
      </c>
      <c r="I13" s="19"/>
      <c r="J13" s="14"/>
    </row>
    <row r="14" spans="1:10" ht="135.75" customHeight="1" x14ac:dyDescent="0.25">
      <c r="A14" s="20" t="s">
        <v>120</v>
      </c>
      <c r="B14" s="21" t="s">
        <v>37</v>
      </c>
      <c r="C14" s="21" t="s">
        <v>38</v>
      </c>
      <c r="D14" s="22">
        <v>5</v>
      </c>
      <c r="E14" s="20" t="s">
        <v>71</v>
      </c>
      <c r="F14" s="21" t="s">
        <v>121</v>
      </c>
      <c r="G14" s="21" t="s">
        <v>110</v>
      </c>
      <c r="H14" s="21" t="s">
        <v>111</v>
      </c>
      <c r="I14" s="19"/>
      <c r="J14" s="14"/>
    </row>
    <row r="15" spans="1:10" ht="57.75" customHeight="1" x14ac:dyDescent="0.25">
      <c r="A15" s="17" t="s">
        <v>122</v>
      </c>
      <c r="B15" s="8" t="s">
        <v>37</v>
      </c>
      <c r="C15" s="8" t="s">
        <v>40</v>
      </c>
      <c r="D15" s="12">
        <v>1</v>
      </c>
      <c r="E15" s="17" t="s">
        <v>59</v>
      </c>
      <c r="F15" s="8" t="s">
        <v>123</v>
      </c>
      <c r="G15" s="8" t="s">
        <v>94</v>
      </c>
      <c r="H15" s="8" t="s">
        <v>95</v>
      </c>
      <c r="I15" s="19"/>
      <c r="J15" s="14"/>
    </row>
    <row r="16" spans="1:10" ht="213.75" customHeight="1" x14ac:dyDescent="0.25">
      <c r="A16" s="17" t="s">
        <v>124</v>
      </c>
      <c r="B16" s="8" t="s">
        <v>37</v>
      </c>
      <c r="C16" s="8" t="s">
        <v>40</v>
      </c>
      <c r="D16" s="12">
        <v>2</v>
      </c>
      <c r="E16" s="17" t="s">
        <v>62</v>
      </c>
      <c r="F16" s="8" t="s">
        <v>125</v>
      </c>
      <c r="G16" s="8" t="s">
        <v>98</v>
      </c>
      <c r="H16" s="8" t="s">
        <v>99</v>
      </c>
      <c r="I16" s="19"/>
      <c r="J16" s="14"/>
    </row>
    <row r="17" spans="1:10" ht="148.5" customHeight="1" x14ac:dyDescent="0.25">
      <c r="A17" s="17" t="s">
        <v>126</v>
      </c>
      <c r="B17" s="8" t="s">
        <v>37</v>
      </c>
      <c r="C17" s="8" t="s">
        <v>40</v>
      </c>
      <c r="D17" s="12">
        <v>3</v>
      </c>
      <c r="E17" s="17" t="s">
        <v>65</v>
      </c>
      <c r="F17" s="8" t="s">
        <v>127</v>
      </c>
      <c r="G17" s="8" t="s">
        <v>102</v>
      </c>
      <c r="H17" s="8" t="s">
        <v>103</v>
      </c>
      <c r="I17" s="19"/>
      <c r="J17" s="14"/>
    </row>
    <row r="18" spans="1:10" ht="148.5" customHeight="1" x14ac:dyDescent="0.25">
      <c r="A18" s="17" t="s">
        <v>128</v>
      </c>
      <c r="B18" s="8" t="s">
        <v>37</v>
      </c>
      <c r="C18" s="8" t="s">
        <v>40</v>
      </c>
      <c r="D18" s="12">
        <v>4</v>
      </c>
      <c r="E18" s="17" t="s">
        <v>68</v>
      </c>
      <c r="F18" s="8" t="s">
        <v>129</v>
      </c>
      <c r="G18" s="8" t="s">
        <v>106</v>
      </c>
      <c r="H18" s="8" t="s">
        <v>107</v>
      </c>
      <c r="I18" s="19"/>
      <c r="J18" s="14"/>
    </row>
    <row r="19" spans="1:10" ht="135.75" customHeight="1" x14ac:dyDescent="0.25">
      <c r="A19" s="17" t="s">
        <v>130</v>
      </c>
      <c r="B19" s="8" t="s">
        <v>37</v>
      </c>
      <c r="C19" s="8" t="s">
        <v>40</v>
      </c>
      <c r="D19" s="12">
        <v>5</v>
      </c>
      <c r="E19" s="17" t="s">
        <v>71</v>
      </c>
      <c r="F19" s="8" t="s">
        <v>131</v>
      </c>
      <c r="G19" s="8" t="s">
        <v>110</v>
      </c>
      <c r="H19" s="8" t="s">
        <v>111</v>
      </c>
      <c r="I19" s="19"/>
      <c r="J19" s="14"/>
    </row>
    <row r="20" spans="1:10" ht="45" customHeight="1" x14ac:dyDescent="0.25">
      <c r="A20" s="20" t="s">
        <v>132</v>
      </c>
      <c r="B20" s="21" t="s">
        <v>37</v>
      </c>
      <c r="C20" s="21" t="s">
        <v>42</v>
      </c>
      <c r="D20" s="22">
        <v>1</v>
      </c>
      <c r="E20" s="20" t="s">
        <v>59</v>
      </c>
      <c r="F20" s="21" t="s">
        <v>133</v>
      </c>
      <c r="G20" s="21" t="s">
        <v>94</v>
      </c>
      <c r="H20" s="21" t="s">
        <v>95</v>
      </c>
      <c r="I20" s="19"/>
      <c r="J20" s="14"/>
    </row>
    <row r="21" spans="1:10" ht="213.75" customHeight="1" x14ac:dyDescent="0.25">
      <c r="A21" s="20" t="s">
        <v>134</v>
      </c>
      <c r="B21" s="21" t="s">
        <v>37</v>
      </c>
      <c r="C21" s="21" t="s">
        <v>42</v>
      </c>
      <c r="D21" s="22">
        <v>2</v>
      </c>
      <c r="E21" s="20" t="s">
        <v>62</v>
      </c>
      <c r="F21" s="21" t="s">
        <v>135</v>
      </c>
      <c r="G21" s="21" t="s">
        <v>98</v>
      </c>
      <c r="H21" s="21" t="s">
        <v>99</v>
      </c>
      <c r="I21" s="19"/>
      <c r="J21" s="14"/>
    </row>
    <row r="22" spans="1:10" ht="148.5" customHeight="1" x14ac:dyDescent="0.25">
      <c r="A22" s="20" t="s">
        <v>136</v>
      </c>
      <c r="B22" s="21" t="s">
        <v>37</v>
      </c>
      <c r="C22" s="21" t="s">
        <v>42</v>
      </c>
      <c r="D22" s="22">
        <v>3</v>
      </c>
      <c r="E22" s="20" t="s">
        <v>65</v>
      </c>
      <c r="F22" s="21" t="s">
        <v>137</v>
      </c>
      <c r="G22" s="21" t="s">
        <v>102</v>
      </c>
      <c r="H22" s="21" t="s">
        <v>103</v>
      </c>
      <c r="I22" s="19"/>
      <c r="J22" s="14"/>
    </row>
    <row r="23" spans="1:10" ht="148.5" customHeight="1" x14ac:dyDescent="0.25">
      <c r="A23" s="20" t="s">
        <v>138</v>
      </c>
      <c r="B23" s="21" t="s">
        <v>37</v>
      </c>
      <c r="C23" s="21" t="s">
        <v>42</v>
      </c>
      <c r="D23" s="22">
        <v>4</v>
      </c>
      <c r="E23" s="20" t="s">
        <v>68</v>
      </c>
      <c r="F23" s="21" t="s">
        <v>139</v>
      </c>
      <c r="G23" s="21" t="s">
        <v>106</v>
      </c>
      <c r="H23" s="21" t="s">
        <v>107</v>
      </c>
      <c r="I23" s="19"/>
      <c r="J23" s="14"/>
    </row>
    <row r="24" spans="1:10" ht="135.75" customHeight="1" x14ac:dyDescent="0.25">
      <c r="A24" s="20" t="s">
        <v>140</v>
      </c>
      <c r="B24" s="21" t="s">
        <v>37</v>
      </c>
      <c r="C24" s="21" t="s">
        <v>42</v>
      </c>
      <c r="D24" s="22">
        <v>5</v>
      </c>
      <c r="E24" s="20" t="s">
        <v>71</v>
      </c>
      <c r="F24" s="21" t="s">
        <v>141</v>
      </c>
      <c r="G24" s="21" t="s">
        <v>110</v>
      </c>
      <c r="H24" s="21" t="s">
        <v>111</v>
      </c>
      <c r="I24" s="19"/>
      <c r="J24" s="14"/>
    </row>
    <row r="25" spans="1:10" ht="57.75" customHeight="1" x14ac:dyDescent="0.25">
      <c r="A25" s="17" t="s">
        <v>142</v>
      </c>
      <c r="B25" s="8" t="s">
        <v>44</v>
      </c>
      <c r="C25" s="8" t="s">
        <v>45</v>
      </c>
      <c r="D25" s="12">
        <v>1</v>
      </c>
      <c r="E25" s="17" t="s">
        <v>59</v>
      </c>
      <c r="F25" s="8" t="s">
        <v>143</v>
      </c>
      <c r="G25" s="8" t="s">
        <v>94</v>
      </c>
      <c r="H25" s="8" t="s">
        <v>95</v>
      </c>
      <c r="I25" s="19"/>
      <c r="J25" s="14"/>
    </row>
    <row r="26" spans="1:10" ht="213.75" customHeight="1" x14ac:dyDescent="0.25">
      <c r="A26" s="17" t="s">
        <v>144</v>
      </c>
      <c r="B26" s="8" t="s">
        <v>44</v>
      </c>
      <c r="C26" s="8" t="s">
        <v>45</v>
      </c>
      <c r="D26" s="12">
        <v>2</v>
      </c>
      <c r="E26" s="17" t="s">
        <v>62</v>
      </c>
      <c r="F26" s="8" t="s">
        <v>145</v>
      </c>
      <c r="G26" s="8" t="s">
        <v>98</v>
      </c>
      <c r="H26" s="8" t="s">
        <v>99</v>
      </c>
      <c r="I26" s="19"/>
      <c r="J26" s="14"/>
    </row>
    <row r="27" spans="1:10" ht="148.5" customHeight="1" x14ac:dyDescent="0.25">
      <c r="A27" s="17" t="s">
        <v>146</v>
      </c>
      <c r="B27" s="8" t="s">
        <v>44</v>
      </c>
      <c r="C27" s="8" t="s">
        <v>45</v>
      </c>
      <c r="D27" s="12">
        <v>3</v>
      </c>
      <c r="E27" s="17" t="s">
        <v>65</v>
      </c>
      <c r="F27" s="8" t="s">
        <v>147</v>
      </c>
      <c r="G27" s="8" t="s">
        <v>102</v>
      </c>
      <c r="H27" s="8" t="s">
        <v>103</v>
      </c>
      <c r="I27" s="19"/>
      <c r="J27" s="14"/>
    </row>
    <row r="28" spans="1:10" ht="148.5" customHeight="1" x14ac:dyDescent="0.25">
      <c r="A28" s="17" t="s">
        <v>148</v>
      </c>
      <c r="B28" s="8" t="s">
        <v>44</v>
      </c>
      <c r="C28" s="8" t="s">
        <v>45</v>
      </c>
      <c r="D28" s="12">
        <v>4</v>
      </c>
      <c r="E28" s="17" t="s">
        <v>68</v>
      </c>
      <c r="F28" s="8" t="s">
        <v>149</v>
      </c>
      <c r="G28" s="8" t="s">
        <v>106</v>
      </c>
      <c r="H28" s="8" t="s">
        <v>107</v>
      </c>
      <c r="I28" s="19"/>
      <c r="J28" s="14"/>
    </row>
    <row r="29" spans="1:10" ht="135.75" customHeight="1" x14ac:dyDescent="0.25">
      <c r="A29" s="17" t="s">
        <v>150</v>
      </c>
      <c r="B29" s="8" t="s">
        <v>44</v>
      </c>
      <c r="C29" s="8" t="s">
        <v>45</v>
      </c>
      <c r="D29" s="12">
        <v>5</v>
      </c>
      <c r="E29" s="17" t="s">
        <v>71</v>
      </c>
      <c r="F29" s="8" t="s">
        <v>151</v>
      </c>
      <c r="G29" s="8" t="s">
        <v>110</v>
      </c>
      <c r="H29" s="8" t="s">
        <v>111</v>
      </c>
      <c r="I29" s="19"/>
      <c r="J29" s="14"/>
    </row>
    <row r="30" spans="1:10" ht="57.75" customHeight="1" x14ac:dyDescent="0.25">
      <c r="A30" s="20" t="s">
        <v>152</v>
      </c>
      <c r="B30" s="21" t="s">
        <v>44</v>
      </c>
      <c r="C30" s="21" t="s">
        <v>47</v>
      </c>
      <c r="D30" s="22">
        <v>1</v>
      </c>
      <c r="E30" s="20" t="s">
        <v>59</v>
      </c>
      <c r="F30" s="21" t="s">
        <v>153</v>
      </c>
      <c r="G30" s="21" t="s">
        <v>94</v>
      </c>
      <c r="H30" s="21" t="s">
        <v>95</v>
      </c>
      <c r="I30" s="19"/>
      <c r="J30" s="14"/>
    </row>
    <row r="31" spans="1:10" ht="213.75" customHeight="1" x14ac:dyDescent="0.25">
      <c r="A31" s="20" t="s">
        <v>154</v>
      </c>
      <c r="B31" s="21" t="s">
        <v>44</v>
      </c>
      <c r="C31" s="21" t="s">
        <v>47</v>
      </c>
      <c r="D31" s="22">
        <v>2</v>
      </c>
      <c r="E31" s="20" t="s">
        <v>62</v>
      </c>
      <c r="F31" s="21" t="s">
        <v>155</v>
      </c>
      <c r="G31" s="21" t="s">
        <v>98</v>
      </c>
      <c r="H31" s="21" t="s">
        <v>99</v>
      </c>
      <c r="I31" s="19"/>
      <c r="J31" s="14"/>
    </row>
    <row r="32" spans="1:10" ht="148.5" customHeight="1" x14ac:dyDescent="0.25">
      <c r="A32" s="20" t="s">
        <v>156</v>
      </c>
      <c r="B32" s="21" t="s">
        <v>44</v>
      </c>
      <c r="C32" s="21" t="s">
        <v>47</v>
      </c>
      <c r="D32" s="22">
        <v>3</v>
      </c>
      <c r="E32" s="20" t="s">
        <v>65</v>
      </c>
      <c r="F32" s="21" t="s">
        <v>157</v>
      </c>
      <c r="G32" s="21" t="s">
        <v>102</v>
      </c>
      <c r="H32" s="21" t="s">
        <v>103</v>
      </c>
      <c r="I32" s="19"/>
      <c r="J32" s="14"/>
    </row>
    <row r="33" spans="1:10" ht="148.5" customHeight="1" x14ac:dyDescent="0.25">
      <c r="A33" s="20" t="s">
        <v>158</v>
      </c>
      <c r="B33" s="21" t="s">
        <v>44</v>
      </c>
      <c r="C33" s="21" t="s">
        <v>47</v>
      </c>
      <c r="D33" s="22">
        <v>4</v>
      </c>
      <c r="E33" s="20" t="s">
        <v>68</v>
      </c>
      <c r="F33" s="21" t="s">
        <v>159</v>
      </c>
      <c r="G33" s="21" t="s">
        <v>106</v>
      </c>
      <c r="H33" s="21" t="s">
        <v>107</v>
      </c>
      <c r="I33" s="19"/>
      <c r="J33" s="14"/>
    </row>
    <row r="34" spans="1:10" ht="135.75" customHeight="1" x14ac:dyDescent="0.25">
      <c r="A34" s="20" t="s">
        <v>160</v>
      </c>
      <c r="B34" s="21" t="s">
        <v>44</v>
      </c>
      <c r="C34" s="21" t="s">
        <v>47</v>
      </c>
      <c r="D34" s="22">
        <v>5</v>
      </c>
      <c r="E34" s="20" t="s">
        <v>71</v>
      </c>
      <c r="F34" s="21" t="s">
        <v>161</v>
      </c>
      <c r="G34" s="21" t="s">
        <v>110</v>
      </c>
      <c r="H34" s="21" t="s">
        <v>111</v>
      </c>
      <c r="I34" s="19"/>
      <c r="J34" s="14"/>
    </row>
    <row r="35" spans="1:10" ht="57.75" customHeight="1" x14ac:dyDescent="0.25">
      <c r="A35" s="17" t="s">
        <v>162</v>
      </c>
      <c r="B35" s="8" t="s">
        <v>49</v>
      </c>
      <c r="C35" s="8" t="s">
        <v>50</v>
      </c>
      <c r="D35" s="12">
        <v>1</v>
      </c>
      <c r="E35" s="17" t="s">
        <v>59</v>
      </c>
      <c r="F35" s="8" t="s">
        <v>163</v>
      </c>
      <c r="G35" s="8" t="s">
        <v>94</v>
      </c>
      <c r="H35" s="8" t="s">
        <v>95</v>
      </c>
      <c r="I35" s="19"/>
      <c r="J35" s="14"/>
    </row>
    <row r="36" spans="1:10" ht="201" customHeight="1" x14ac:dyDescent="0.25">
      <c r="A36" s="17" t="s">
        <v>164</v>
      </c>
      <c r="B36" s="8" t="s">
        <v>49</v>
      </c>
      <c r="C36" s="8" t="s">
        <v>50</v>
      </c>
      <c r="D36" s="12">
        <v>2</v>
      </c>
      <c r="E36" s="17" t="s">
        <v>62</v>
      </c>
      <c r="F36" s="8" t="s">
        <v>165</v>
      </c>
      <c r="G36" s="8" t="s">
        <v>98</v>
      </c>
      <c r="H36" s="8" t="s">
        <v>99</v>
      </c>
      <c r="I36" s="19"/>
      <c r="J36" s="14"/>
    </row>
    <row r="37" spans="1:10" ht="148.5" customHeight="1" x14ac:dyDescent="0.25">
      <c r="A37" s="17" t="s">
        <v>166</v>
      </c>
      <c r="B37" s="8" t="s">
        <v>49</v>
      </c>
      <c r="C37" s="8" t="s">
        <v>50</v>
      </c>
      <c r="D37" s="12">
        <v>3</v>
      </c>
      <c r="E37" s="17" t="s">
        <v>65</v>
      </c>
      <c r="F37" s="8" t="s">
        <v>167</v>
      </c>
      <c r="G37" s="8" t="s">
        <v>102</v>
      </c>
      <c r="H37" s="8" t="s">
        <v>103</v>
      </c>
      <c r="I37" s="19"/>
      <c r="J37" s="14"/>
    </row>
    <row r="38" spans="1:10" ht="148.5" customHeight="1" x14ac:dyDescent="0.25">
      <c r="A38" s="17" t="s">
        <v>168</v>
      </c>
      <c r="B38" s="8" t="s">
        <v>49</v>
      </c>
      <c r="C38" s="8" t="s">
        <v>50</v>
      </c>
      <c r="D38" s="12">
        <v>4</v>
      </c>
      <c r="E38" s="17" t="s">
        <v>68</v>
      </c>
      <c r="F38" s="8" t="s">
        <v>169</v>
      </c>
      <c r="G38" s="8" t="s">
        <v>106</v>
      </c>
      <c r="H38" s="8" t="s">
        <v>107</v>
      </c>
      <c r="I38" s="19"/>
      <c r="J38" s="14"/>
    </row>
    <row r="39" spans="1:10" ht="135.75" customHeight="1" x14ac:dyDescent="0.25">
      <c r="A39" s="17" t="s">
        <v>170</v>
      </c>
      <c r="B39" s="8" t="s">
        <v>49</v>
      </c>
      <c r="C39" s="8" t="s">
        <v>50</v>
      </c>
      <c r="D39" s="12">
        <v>5</v>
      </c>
      <c r="E39" s="17" t="s">
        <v>71</v>
      </c>
      <c r="F39" s="8" t="s">
        <v>171</v>
      </c>
      <c r="G39" s="8" t="s">
        <v>110</v>
      </c>
      <c r="H39" s="8" t="s">
        <v>111</v>
      </c>
      <c r="I39" s="19"/>
      <c r="J39" s="14"/>
    </row>
  </sheetData>
  <autoFilter ref="A4:J39"/>
  <conditionalFormatting sqref="I5:I39">
    <cfRule type="cellIs" dxfId="3" priority="2" operator="equal">
      <formula>"Pass"</formula>
    </cfRule>
    <cfRule type="cellIs" dxfId="2" priority="3" operator="equal">
      <formula>"Fail"</formula>
    </cfRule>
  </conditionalFormatting>
  <dataValidations disablePrompts="1" count="1">
    <dataValidation type="list" allowBlank="1" sqref="I5:I39">
      <formula1>"Pass,Fail"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showGridLines="0" zoomScaleNormal="100" workbookViewId="0">
      <pane xSplit="5" ySplit="4" topLeftCell="G5" activePane="bottomRight" state="frozen"/>
      <selection pane="topRight" activeCell="F1" sqref="F1"/>
      <selection pane="bottomLeft" activeCell="A5" sqref="A5"/>
      <selection pane="bottomRight" activeCell="I6" sqref="I6"/>
    </sheetView>
  </sheetViews>
  <sheetFormatPr defaultColWidth="8.7109375" defaultRowHeight="15" x14ac:dyDescent="0.25"/>
  <cols>
    <col min="1" max="1" width="10" customWidth="1"/>
    <col min="2" max="2" width="22" customWidth="1"/>
    <col min="3" max="3" width="24" customWidth="1"/>
    <col min="4" max="4" width="8" customWidth="1"/>
    <col min="5" max="5" width="26" customWidth="1"/>
    <col min="6" max="6" width="92" customWidth="1"/>
    <col min="7" max="7" width="30" customWidth="1"/>
    <col min="8" max="8" width="52" customWidth="1"/>
    <col min="9" max="9" width="13" customWidth="1"/>
    <col min="10" max="10" width="32" customWidth="1"/>
  </cols>
  <sheetData>
    <row r="1" spans="1:10" ht="18" x14ac:dyDescent="0.25">
      <c r="A1" s="6" t="s">
        <v>172</v>
      </c>
    </row>
    <row r="2" spans="1:10" x14ac:dyDescent="0.25">
      <c r="A2" s="18" t="s">
        <v>85</v>
      </c>
    </row>
    <row r="4" spans="1:10" ht="25.5" x14ac:dyDescent="0.25">
      <c r="A4" s="10" t="s">
        <v>86</v>
      </c>
      <c r="B4" s="10" t="s">
        <v>24</v>
      </c>
      <c r="C4" s="10" t="s">
        <v>25</v>
      </c>
      <c r="D4" s="10" t="s">
        <v>55</v>
      </c>
      <c r="E4" s="10" t="s">
        <v>87</v>
      </c>
      <c r="F4" s="10" t="s">
        <v>88</v>
      </c>
      <c r="G4" s="10" t="s">
        <v>89</v>
      </c>
      <c r="H4" s="10" t="s">
        <v>90</v>
      </c>
      <c r="I4" s="10" t="s">
        <v>91</v>
      </c>
      <c r="J4" s="10" t="s">
        <v>32</v>
      </c>
    </row>
    <row r="5" spans="1:10" ht="31.5" customHeight="1" x14ac:dyDescent="0.25">
      <c r="A5" s="17" t="s">
        <v>173</v>
      </c>
      <c r="B5" s="8" t="s">
        <v>34</v>
      </c>
      <c r="C5" s="8" t="s">
        <v>35</v>
      </c>
      <c r="D5" s="12">
        <v>1</v>
      </c>
      <c r="E5" s="17" t="s">
        <v>74</v>
      </c>
      <c r="F5" s="8" t="s">
        <v>174</v>
      </c>
      <c r="G5" s="8" t="s">
        <v>175</v>
      </c>
      <c r="H5" s="8" t="s">
        <v>176</v>
      </c>
      <c r="I5" s="19"/>
      <c r="J5" s="14"/>
    </row>
    <row r="6" spans="1:10" ht="123" customHeight="1" x14ac:dyDescent="0.25">
      <c r="A6" s="17" t="s">
        <v>177</v>
      </c>
      <c r="B6" s="8" t="s">
        <v>34</v>
      </c>
      <c r="C6" s="8" t="s">
        <v>35</v>
      </c>
      <c r="D6" s="12">
        <v>2</v>
      </c>
      <c r="E6" s="17" t="s">
        <v>76</v>
      </c>
      <c r="F6" s="8" t="s">
        <v>178</v>
      </c>
      <c r="G6" s="8" t="s">
        <v>179</v>
      </c>
      <c r="H6" s="8" t="s">
        <v>180</v>
      </c>
      <c r="I6" s="19"/>
      <c r="J6" s="14"/>
    </row>
    <row r="7" spans="1:10" ht="70.5" customHeight="1" x14ac:dyDescent="0.25">
      <c r="A7" s="17" t="s">
        <v>181</v>
      </c>
      <c r="B7" s="8" t="s">
        <v>34</v>
      </c>
      <c r="C7" s="8" t="s">
        <v>35</v>
      </c>
      <c r="D7" s="12">
        <v>3</v>
      </c>
      <c r="E7" s="17" t="s">
        <v>78</v>
      </c>
      <c r="F7" s="8" t="s">
        <v>182</v>
      </c>
      <c r="G7" s="8" t="s">
        <v>183</v>
      </c>
      <c r="H7" s="8" t="s">
        <v>184</v>
      </c>
      <c r="I7" s="19"/>
      <c r="J7" s="14"/>
    </row>
    <row r="8" spans="1:10" ht="84" customHeight="1" x14ac:dyDescent="0.25">
      <c r="A8" s="17" t="s">
        <v>185</v>
      </c>
      <c r="B8" s="8" t="s">
        <v>34</v>
      </c>
      <c r="C8" s="8" t="s">
        <v>35</v>
      </c>
      <c r="D8" s="12">
        <v>4</v>
      </c>
      <c r="E8" s="17" t="s">
        <v>80</v>
      </c>
      <c r="F8" s="8" t="s">
        <v>186</v>
      </c>
      <c r="G8" s="8" t="s">
        <v>187</v>
      </c>
      <c r="H8" s="8" t="s">
        <v>188</v>
      </c>
      <c r="I8" s="19"/>
      <c r="J8" s="14"/>
    </row>
    <row r="9" spans="1:10" ht="84" customHeight="1" x14ac:dyDescent="0.25">
      <c r="A9" s="17" t="s">
        <v>189</v>
      </c>
      <c r="B9" s="8" t="s">
        <v>34</v>
      </c>
      <c r="C9" s="8" t="s">
        <v>35</v>
      </c>
      <c r="D9" s="12">
        <v>5</v>
      </c>
      <c r="E9" s="17" t="s">
        <v>82</v>
      </c>
      <c r="F9" s="8" t="s">
        <v>190</v>
      </c>
      <c r="G9" s="8" t="s">
        <v>191</v>
      </c>
      <c r="H9" s="8" t="s">
        <v>192</v>
      </c>
      <c r="I9" s="19"/>
      <c r="J9" s="14"/>
    </row>
    <row r="10" spans="1:10" ht="31.5" customHeight="1" x14ac:dyDescent="0.25">
      <c r="A10" s="20" t="s">
        <v>193</v>
      </c>
      <c r="B10" s="21" t="s">
        <v>37</v>
      </c>
      <c r="C10" s="21" t="s">
        <v>38</v>
      </c>
      <c r="D10" s="22">
        <v>1</v>
      </c>
      <c r="E10" s="20" t="s">
        <v>74</v>
      </c>
      <c r="F10" s="21" t="s">
        <v>194</v>
      </c>
      <c r="G10" s="21" t="s">
        <v>195</v>
      </c>
      <c r="H10" s="21" t="s">
        <v>196</v>
      </c>
      <c r="I10" s="19"/>
      <c r="J10" s="14"/>
    </row>
    <row r="11" spans="1:10" ht="109.5" customHeight="1" x14ac:dyDescent="0.25">
      <c r="A11" s="20" t="s">
        <v>197</v>
      </c>
      <c r="B11" s="21" t="s">
        <v>37</v>
      </c>
      <c r="C11" s="21" t="s">
        <v>38</v>
      </c>
      <c r="D11" s="22">
        <v>2</v>
      </c>
      <c r="E11" s="20" t="s">
        <v>76</v>
      </c>
      <c r="F11" s="21" t="s">
        <v>198</v>
      </c>
      <c r="G11" s="21" t="s">
        <v>199</v>
      </c>
      <c r="H11" s="21" t="s">
        <v>200</v>
      </c>
      <c r="I11" s="19"/>
      <c r="J11" s="14"/>
    </row>
    <row r="12" spans="1:10" ht="70.5" customHeight="1" x14ac:dyDescent="0.25">
      <c r="A12" s="20" t="s">
        <v>201</v>
      </c>
      <c r="B12" s="21" t="s">
        <v>37</v>
      </c>
      <c r="C12" s="21" t="s">
        <v>38</v>
      </c>
      <c r="D12" s="22">
        <v>3</v>
      </c>
      <c r="E12" s="20" t="s">
        <v>78</v>
      </c>
      <c r="F12" s="21" t="s">
        <v>202</v>
      </c>
      <c r="G12" s="21" t="s">
        <v>203</v>
      </c>
      <c r="H12" s="21" t="s">
        <v>204</v>
      </c>
      <c r="I12" s="19"/>
      <c r="J12" s="14"/>
    </row>
    <row r="13" spans="1:10" ht="45" customHeight="1" x14ac:dyDescent="0.25">
      <c r="A13" s="20" t="s">
        <v>205</v>
      </c>
      <c r="B13" s="21" t="s">
        <v>37</v>
      </c>
      <c r="C13" s="21" t="s">
        <v>38</v>
      </c>
      <c r="D13" s="22">
        <v>4</v>
      </c>
      <c r="E13" s="20" t="s">
        <v>80</v>
      </c>
      <c r="F13" s="21" t="s">
        <v>206</v>
      </c>
      <c r="G13" s="21" t="s">
        <v>207</v>
      </c>
      <c r="H13" s="21" t="s">
        <v>208</v>
      </c>
      <c r="I13" s="19"/>
      <c r="J13" s="14"/>
    </row>
    <row r="14" spans="1:10" ht="84" customHeight="1" x14ac:dyDescent="0.25">
      <c r="A14" s="20" t="s">
        <v>209</v>
      </c>
      <c r="B14" s="21" t="s">
        <v>37</v>
      </c>
      <c r="C14" s="21" t="s">
        <v>38</v>
      </c>
      <c r="D14" s="22">
        <v>5</v>
      </c>
      <c r="E14" s="20" t="s">
        <v>82</v>
      </c>
      <c r="F14" s="21" t="s">
        <v>210</v>
      </c>
      <c r="G14" s="21" t="s">
        <v>211</v>
      </c>
      <c r="H14" s="21" t="s">
        <v>212</v>
      </c>
      <c r="I14" s="19"/>
      <c r="J14" s="14"/>
    </row>
    <row r="15" spans="1:10" ht="30" customHeight="1" x14ac:dyDescent="0.25">
      <c r="A15" s="17" t="s">
        <v>213</v>
      </c>
      <c r="B15" s="8" t="s">
        <v>37</v>
      </c>
      <c r="C15" s="8" t="s">
        <v>40</v>
      </c>
      <c r="D15" s="12">
        <v>1</v>
      </c>
      <c r="E15" s="17" t="s">
        <v>74</v>
      </c>
      <c r="F15" s="8" t="s">
        <v>214</v>
      </c>
      <c r="G15" s="8" t="s">
        <v>215</v>
      </c>
      <c r="H15" s="8" t="s">
        <v>216</v>
      </c>
      <c r="I15" s="19"/>
      <c r="J15" s="14"/>
    </row>
    <row r="16" spans="1:10" ht="96.75" customHeight="1" x14ac:dyDescent="0.25">
      <c r="A16" s="17" t="s">
        <v>217</v>
      </c>
      <c r="B16" s="8" t="s">
        <v>37</v>
      </c>
      <c r="C16" s="8" t="s">
        <v>40</v>
      </c>
      <c r="D16" s="12">
        <v>2</v>
      </c>
      <c r="E16" s="17" t="s">
        <v>76</v>
      </c>
      <c r="F16" s="8" t="s">
        <v>218</v>
      </c>
      <c r="G16" s="8" t="s">
        <v>219</v>
      </c>
      <c r="H16" s="8" t="s">
        <v>220</v>
      </c>
      <c r="I16" s="19"/>
      <c r="J16" s="14"/>
    </row>
    <row r="17" spans="1:10" ht="70.5" customHeight="1" x14ac:dyDescent="0.25">
      <c r="A17" s="17" t="s">
        <v>221</v>
      </c>
      <c r="B17" s="8" t="s">
        <v>37</v>
      </c>
      <c r="C17" s="8" t="s">
        <v>40</v>
      </c>
      <c r="D17" s="12">
        <v>3</v>
      </c>
      <c r="E17" s="17" t="s">
        <v>78</v>
      </c>
      <c r="F17" s="8" t="s">
        <v>222</v>
      </c>
      <c r="G17" s="8" t="s">
        <v>223</v>
      </c>
      <c r="H17" s="8" t="s">
        <v>224</v>
      </c>
      <c r="I17" s="19"/>
      <c r="J17" s="14"/>
    </row>
    <row r="18" spans="1:10" ht="70.5" customHeight="1" x14ac:dyDescent="0.25">
      <c r="A18" s="17" t="s">
        <v>225</v>
      </c>
      <c r="B18" s="8" t="s">
        <v>37</v>
      </c>
      <c r="C18" s="8" t="s">
        <v>40</v>
      </c>
      <c r="D18" s="12">
        <v>4</v>
      </c>
      <c r="E18" s="17" t="s">
        <v>80</v>
      </c>
      <c r="F18" s="8" t="s">
        <v>226</v>
      </c>
      <c r="G18" s="8" t="s">
        <v>227</v>
      </c>
      <c r="H18" s="8" t="s">
        <v>228</v>
      </c>
      <c r="I18" s="19"/>
      <c r="J18" s="14"/>
    </row>
    <row r="19" spans="1:10" ht="84" customHeight="1" x14ac:dyDescent="0.25">
      <c r="A19" s="17" t="s">
        <v>229</v>
      </c>
      <c r="B19" s="8" t="s">
        <v>37</v>
      </c>
      <c r="C19" s="8" t="s">
        <v>40</v>
      </c>
      <c r="D19" s="12">
        <v>5</v>
      </c>
      <c r="E19" s="17" t="s">
        <v>82</v>
      </c>
      <c r="F19" s="8" t="s">
        <v>230</v>
      </c>
      <c r="G19" s="8" t="s">
        <v>231</v>
      </c>
      <c r="H19" s="8" t="s">
        <v>232</v>
      </c>
      <c r="I19" s="19"/>
      <c r="J19" s="14"/>
    </row>
    <row r="20" spans="1:10" ht="30" customHeight="1" x14ac:dyDescent="0.25">
      <c r="A20" s="20" t="s">
        <v>233</v>
      </c>
      <c r="B20" s="21" t="s">
        <v>37</v>
      </c>
      <c r="C20" s="21" t="s">
        <v>42</v>
      </c>
      <c r="D20" s="22">
        <v>1</v>
      </c>
      <c r="E20" s="20" t="s">
        <v>74</v>
      </c>
      <c r="F20" s="21" t="s">
        <v>234</v>
      </c>
      <c r="G20" s="21" t="s">
        <v>94</v>
      </c>
      <c r="H20" s="21" t="s">
        <v>235</v>
      </c>
      <c r="I20" s="19"/>
      <c r="J20" s="14"/>
    </row>
    <row r="21" spans="1:10" ht="57.75" customHeight="1" x14ac:dyDescent="0.25">
      <c r="A21" s="20" t="s">
        <v>236</v>
      </c>
      <c r="B21" s="21" t="s">
        <v>37</v>
      </c>
      <c r="C21" s="21" t="s">
        <v>42</v>
      </c>
      <c r="D21" s="22">
        <v>2</v>
      </c>
      <c r="E21" s="20" t="s">
        <v>76</v>
      </c>
      <c r="F21" s="21" t="s">
        <v>237</v>
      </c>
      <c r="G21" s="21" t="s">
        <v>238</v>
      </c>
      <c r="H21" s="21" t="s">
        <v>239</v>
      </c>
      <c r="I21" s="19"/>
      <c r="J21" s="14"/>
    </row>
    <row r="22" spans="1:10" ht="57.75" customHeight="1" x14ac:dyDescent="0.25">
      <c r="A22" s="20" t="s">
        <v>240</v>
      </c>
      <c r="B22" s="21" t="s">
        <v>37</v>
      </c>
      <c r="C22" s="21" t="s">
        <v>42</v>
      </c>
      <c r="D22" s="22">
        <v>3</v>
      </c>
      <c r="E22" s="20" t="s">
        <v>78</v>
      </c>
      <c r="F22" s="21" t="s">
        <v>241</v>
      </c>
      <c r="G22" s="21" t="s">
        <v>242</v>
      </c>
      <c r="H22" s="21" t="s">
        <v>243</v>
      </c>
      <c r="I22" s="19"/>
      <c r="J22" s="14"/>
    </row>
    <row r="23" spans="1:10" ht="84" customHeight="1" x14ac:dyDescent="0.25">
      <c r="A23" s="20" t="s">
        <v>244</v>
      </c>
      <c r="B23" s="21" t="s">
        <v>37</v>
      </c>
      <c r="C23" s="21" t="s">
        <v>42</v>
      </c>
      <c r="D23" s="22">
        <v>4</v>
      </c>
      <c r="E23" s="20" t="s">
        <v>80</v>
      </c>
      <c r="F23" s="21" t="s">
        <v>245</v>
      </c>
      <c r="G23" s="21" t="s">
        <v>246</v>
      </c>
      <c r="H23" s="21" t="s">
        <v>247</v>
      </c>
      <c r="I23" s="19"/>
      <c r="J23" s="14"/>
    </row>
    <row r="24" spans="1:10" ht="70.5" customHeight="1" x14ac:dyDescent="0.25">
      <c r="A24" s="20" t="s">
        <v>248</v>
      </c>
      <c r="B24" s="21" t="s">
        <v>37</v>
      </c>
      <c r="C24" s="21" t="s">
        <v>42</v>
      </c>
      <c r="D24" s="22">
        <v>5</v>
      </c>
      <c r="E24" s="20" t="s">
        <v>82</v>
      </c>
      <c r="F24" s="21" t="s">
        <v>249</v>
      </c>
      <c r="G24" s="21" t="s">
        <v>250</v>
      </c>
      <c r="H24" s="21" t="s">
        <v>251</v>
      </c>
      <c r="I24" s="19"/>
      <c r="J24" s="14"/>
    </row>
    <row r="25" spans="1:10" ht="30" customHeight="1" x14ac:dyDescent="0.25">
      <c r="A25" s="17" t="s">
        <v>252</v>
      </c>
      <c r="B25" s="8" t="s">
        <v>44</v>
      </c>
      <c r="C25" s="8" t="s">
        <v>45</v>
      </c>
      <c r="D25" s="12">
        <v>1</v>
      </c>
      <c r="E25" s="17" t="s">
        <v>74</v>
      </c>
      <c r="F25" s="8" t="s">
        <v>253</v>
      </c>
      <c r="G25" s="8" t="s">
        <v>94</v>
      </c>
      <c r="H25" s="8" t="s">
        <v>254</v>
      </c>
      <c r="I25" s="19"/>
      <c r="J25" s="14"/>
    </row>
    <row r="26" spans="1:10" ht="70.5" customHeight="1" x14ac:dyDescent="0.25">
      <c r="A26" s="17" t="s">
        <v>255</v>
      </c>
      <c r="B26" s="8" t="s">
        <v>44</v>
      </c>
      <c r="C26" s="8" t="s">
        <v>45</v>
      </c>
      <c r="D26" s="12">
        <v>2</v>
      </c>
      <c r="E26" s="17" t="s">
        <v>76</v>
      </c>
      <c r="F26" s="8" t="s">
        <v>256</v>
      </c>
      <c r="G26" s="8" t="s">
        <v>257</v>
      </c>
      <c r="H26" s="8" t="s">
        <v>258</v>
      </c>
      <c r="I26" s="19"/>
      <c r="J26" s="14"/>
    </row>
    <row r="27" spans="1:10" ht="70.5" customHeight="1" x14ac:dyDescent="0.25">
      <c r="A27" s="17" t="s">
        <v>259</v>
      </c>
      <c r="B27" s="8" t="s">
        <v>44</v>
      </c>
      <c r="C27" s="8" t="s">
        <v>45</v>
      </c>
      <c r="D27" s="12">
        <v>3</v>
      </c>
      <c r="E27" s="17" t="s">
        <v>78</v>
      </c>
      <c r="F27" s="8" t="s">
        <v>260</v>
      </c>
      <c r="G27" s="8" t="s">
        <v>261</v>
      </c>
      <c r="H27" s="8" t="s">
        <v>262</v>
      </c>
      <c r="I27" s="19"/>
      <c r="J27" s="14"/>
    </row>
    <row r="28" spans="1:10" ht="84" customHeight="1" x14ac:dyDescent="0.25">
      <c r="A28" s="17" t="s">
        <v>263</v>
      </c>
      <c r="B28" s="8" t="s">
        <v>44</v>
      </c>
      <c r="C28" s="8" t="s">
        <v>45</v>
      </c>
      <c r="D28" s="12">
        <v>4</v>
      </c>
      <c r="E28" s="17" t="s">
        <v>80</v>
      </c>
      <c r="F28" s="8" t="s">
        <v>264</v>
      </c>
      <c r="G28" s="8" t="s">
        <v>265</v>
      </c>
      <c r="H28" s="8" t="s">
        <v>266</v>
      </c>
      <c r="I28" s="19"/>
      <c r="J28" s="14"/>
    </row>
    <row r="29" spans="1:10" ht="70.5" customHeight="1" x14ac:dyDescent="0.25">
      <c r="A29" s="17" t="s">
        <v>267</v>
      </c>
      <c r="B29" s="8" t="s">
        <v>44</v>
      </c>
      <c r="C29" s="8" t="s">
        <v>45</v>
      </c>
      <c r="D29" s="12">
        <v>5</v>
      </c>
      <c r="E29" s="17" t="s">
        <v>82</v>
      </c>
      <c r="F29" s="8" t="s">
        <v>268</v>
      </c>
      <c r="G29" s="8" t="s">
        <v>269</v>
      </c>
      <c r="H29" s="8" t="s">
        <v>270</v>
      </c>
      <c r="I29" s="19"/>
      <c r="J29" s="14"/>
    </row>
    <row r="30" spans="1:10" ht="30" customHeight="1" x14ac:dyDescent="0.25">
      <c r="A30" s="20" t="s">
        <v>271</v>
      </c>
      <c r="B30" s="21" t="s">
        <v>44</v>
      </c>
      <c r="C30" s="21" t="s">
        <v>47</v>
      </c>
      <c r="D30" s="22">
        <v>1</v>
      </c>
      <c r="E30" s="20" t="s">
        <v>74</v>
      </c>
      <c r="F30" s="21" t="s">
        <v>272</v>
      </c>
      <c r="G30" s="21" t="s">
        <v>94</v>
      </c>
      <c r="H30" s="21" t="s">
        <v>273</v>
      </c>
      <c r="I30" s="19"/>
      <c r="J30" s="14"/>
    </row>
    <row r="31" spans="1:10" ht="84" customHeight="1" x14ac:dyDescent="0.25">
      <c r="A31" s="20" t="s">
        <v>274</v>
      </c>
      <c r="B31" s="21" t="s">
        <v>44</v>
      </c>
      <c r="C31" s="21" t="s">
        <v>47</v>
      </c>
      <c r="D31" s="22">
        <v>2</v>
      </c>
      <c r="E31" s="20" t="s">
        <v>76</v>
      </c>
      <c r="F31" s="21" t="s">
        <v>275</v>
      </c>
      <c r="G31" s="21" t="s">
        <v>276</v>
      </c>
      <c r="H31" s="21" t="s">
        <v>277</v>
      </c>
      <c r="I31" s="19"/>
      <c r="J31" s="14"/>
    </row>
    <row r="32" spans="1:10" ht="70.5" customHeight="1" x14ac:dyDescent="0.25">
      <c r="A32" s="20" t="s">
        <v>278</v>
      </c>
      <c r="B32" s="21" t="s">
        <v>44</v>
      </c>
      <c r="C32" s="21" t="s">
        <v>47</v>
      </c>
      <c r="D32" s="22">
        <v>3</v>
      </c>
      <c r="E32" s="20" t="s">
        <v>78</v>
      </c>
      <c r="F32" s="21" t="s">
        <v>279</v>
      </c>
      <c r="G32" s="21" t="s">
        <v>280</v>
      </c>
      <c r="H32" s="21" t="s">
        <v>281</v>
      </c>
      <c r="I32" s="19"/>
      <c r="J32" s="14"/>
    </row>
    <row r="33" spans="1:10" ht="57.75" customHeight="1" x14ac:dyDescent="0.25">
      <c r="A33" s="20" t="s">
        <v>282</v>
      </c>
      <c r="B33" s="21" t="s">
        <v>44</v>
      </c>
      <c r="C33" s="21" t="s">
        <v>47</v>
      </c>
      <c r="D33" s="22">
        <v>4</v>
      </c>
      <c r="E33" s="20" t="s">
        <v>80</v>
      </c>
      <c r="F33" s="21" t="s">
        <v>283</v>
      </c>
      <c r="G33" s="21" t="s">
        <v>284</v>
      </c>
      <c r="H33" s="21" t="s">
        <v>285</v>
      </c>
      <c r="I33" s="19"/>
      <c r="J33" s="14"/>
    </row>
    <row r="34" spans="1:10" ht="70.5" customHeight="1" x14ac:dyDescent="0.25">
      <c r="A34" s="20" t="s">
        <v>286</v>
      </c>
      <c r="B34" s="21" t="s">
        <v>44</v>
      </c>
      <c r="C34" s="21" t="s">
        <v>47</v>
      </c>
      <c r="D34" s="22">
        <v>5</v>
      </c>
      <c r="E34" s="20" t="s">
        <v>82</v>
      </c>
      <c r="F34" s="21" t="s">
        <v>287</v>
      </c>
      <c r="G34" s="21" t="s">
        <v>288</v>
      </c>
      <c r="H34" s="21" t="s">
        <v>289</v>
      </c>
      <c r="I34" s="19"/>
      <c r="J34" s="14"/>
    </row>
    <row r="35" spans="1:10" ht="30" customHeight="1" x14ac:dyDescent="0.25">
      <c r="A35" s="17" t="s">
        <v>290</v>
      </c>
      <c r="B35" s="8" t="s">
        <v>49</v>
      </c>
      <c r="C35" s="8" t="s">
        <v>50</v>
      </c>
      <c r="D35" s="12">
        <v>1</v>
      </c>
      <c r="E35" s="17" t="s">
        <v>74</v>
      </c>
      <c r="F35" s="8" t="s">
        <v>291</v>
      </c>
      <c r="G35" s="8" t="s">
        <v>94</v>
      </c>
      <c r="H35" s="8" t="s">
        <v>292</v>
      </c>
      <c r="I35" s="19"/>
      <c r="J35" s="14"/>
    </row>
    <row r="36" spans="1:10" ht="96.75" customHeight="1" x14ac:dyDescent="0.25">
      <c r="A36" s="17" t="s">
        <v>293</v>
      </c>
      <c r="B36" s="8" t="s">
        <v>49</v>
      </c>
      <c r="C36" s="8" t="s">
        <v>50</v>
      </c>
      <c r="D36" s="12">
        <v>2</v>
      </c>
      <c r="E36" s="17" t="s">
        <v>76</v>
      </c>
      <c r="F36" s="8" t="s">
        <v>294</v>
      </c>
      <c r="G36" s="8" t="s">
        <v>295</v>
      </c>
      <c r="H36" s="8" t="s">
        <v>296</v>
      </c>
      <c r="I36" s="19"/>
      <c r="J36" s="14"/>
    </row>
    <row r="37" spans="1:10" ht="70.5" customHeight="1" x14ac:dyDescent="0.25">
      <c r="A37" s="17" t="s">
        <v>297</v>
      </c>
      <c r="B37" s="8" t="s">
        <v>49</v>
      </c>
      <c r="C37" s="8" t="s">
        <v>50</v>
      </c>
      <c r="D37" s="12">
        <v>3</v>
      </c>
      <c r="E37" s="17" t="s">
        <v>78</v>
      </c>
      <c r="F37" s="8" t="s">
        <v>298</v>
      </c>
      <c r="G37" s="8" t="s">
        <v>299</v>
      </c>
      <c r="H37" s="8" t="s">
        <v>300</v>
      </c>
      <c r="I37" s="19"/>
      <c r="J37" s="14"/>
    </row>
    <row r="38" spans="1:10" ht="70.5" customHeight="1" x14ac:dyDescent="0.25">
      <c r="A38" s="17" t="s">
        <v>301</v>
      </c>
      <c r="B38" s="8" t="s">
        <v>49</v>
      </c>
      <c r="C38" s="8" t="s">
        <v>50</v>
      </c>
      <c r="D38" s="12">
        <v>4</v>
      </c>
      <c r="E38" s="17" t="s">
        <v>80</v>
      </c>
      <c r="F38" s="8" t="s">
        <v>302</v>
      </c>
      <c r="G38" s="8" t="s">
        <v>303</v>
      </c>
      <c r="H38" s="8" t="s">
        <v>304</v>
      </c>
      <c r="I38" s="19"/>
      <c r="J38" s="14"/>
    </row>
    <row r="39" spans="1:10" ht="96.75" customHeight="1" x14ac:dyDescent="0.25">
      <c r="A39" s="17" t="s">
        <v>305</v>
      </c>
      <c r="B39" s="8" t="s">
        <v>49</v>
      </c>
      <c r="C39" s="8" t="s">
        <v>50</v>
      </c>
      <c r="D39" s="12">
        <v>5</v>
      </c>
      <c r="E39" s="17" t="s">
        <v>82</v>
      </c>
      <c r="F39" s="8" t="s">
        <v>306</v>
      </c>
      <c r="G39" s="8" t="s">
        <v>307</v>
      </c>
      <c r="H39" s="8" t="s">
        <v>308</v>
      </c>
      <c r="I39" s="19"/>
      <c r="J39" s="14"/>
    </row>
  </sheetData>
  <autoFilter ref="A4:J39"/>
  <conditionalFormatting sqref="I5:I39">
    <cfRule type="cellIs" dxfId="1" priority="2" operator="equal">
      <formula>"Pass"</formula>
    </cfRule>
    <cfRule type="cellIs" dxfId="0" priority="3" operator="equal">
      <formula>"Fail"</formula>
    </cfRule>
  </conditionalFormatting>
  <dataValidations count="1">
    <dataValidation type="list" allowBlank="1" sqref="I5:I39">
      <formula1>"Pass,Fail"</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vt:lpstr>
      <vt:lpstr>Scoring</vt:lpstr>
      <vt:lpstr>Skill_Criteria</vt:lpstr>
      <vt:lpstr>Output_Criteria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Thanh Duong</cp:lastModifiedBy>
  <cp:revision>0</cp:revision>
  <dcterms:created xsi:type="dcterms:W3CDTF">2026-10-07T06:56:36Z</dcterms:created>
  <dcterms:modified xsi:type="dcterms:W3CDTF">2026-10-07T07:11:14Z</dcterms:modified>
  <dc:language>en-US</dc:language>
</cp:coreProperties>
</file>