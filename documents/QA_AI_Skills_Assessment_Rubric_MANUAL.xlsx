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ags-data\Data-Server\VN_Service_Delivery\AI Enabled QA Program\Week06\"/>
    </mc:Choice>
  </mc:AlternateContent>
  <bookViews>
    <workbookView xWindow="0" yWindow="0" windowWidth="23040" windowHeight="9072" tabRatio="500"/>
  </bookViews>
  <sheets>
    <sheet name="Rubric_Manual" sheetId="6" r:id="rId1"/>
  </sheets>
  <calcPr calcId="162913"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E5" i="6" l="1"/>
  <c r="E4" i="6"/>
  <c r="E3" i="6"/>
  <c r="F44" i="6"/>
  <c r="G27" i="6"/>
  <c r="G19" i="6"/>
  <c r="G7" i="6"/>
</calcChain>
</file>

<file path=xl/sharedStrings.xml><?xml version="1.0" encoding="utf-8"?>
<sst xmlns="http://schemas.openxmlformats.org/spreadsheetml/2006/main" count="164" uniqueCount="101">
  <si>
    <t>Bộ Skill</t>
  </si>
  <si>
    <t>ID</t>
  </si>
  <si>
    <t>Tiêu chí</t>
  </si>
  <si>
    <t>Đạt khi</t>
  </si>
  <si>
    <t>Cấu trúc</t>
  </si>
  <si>
    <r>
      <t xml:space="preserve">Mỗi skill là 1 thư mục kebab-case, có file </t>
    </r>
    <r>
      <rPr>
        <sz val="10"/>
        <color theme="1"/>
        <rFont val="Arial Unicode MS"/>
      </rPr>
      <t>SKILL.md</t>
    </r>
    <r>
      <rPr>
        <sz val="11"/>
        <color theme="1"/>
        <rFont val="Calibri"/>
        <family val="2"/>
        <charset val="1"/>
      </rPr>
      <t xml:space="preserve"> đúng tên</t>
    </r>
  </si>
  <si>
    <t>Frontmatter</t>
  </si>
  <si>
    <r>
      <t xml:space="preserve">Có </t>
    </r>
    <r>
      <rPr>
        <sz val="10"/>
        <color theme="1"/>
        <rFont val="Arial Unicode MS"/>
      </rPr>
      <t>name</t>
    </r>
    <r>
      <rPr>
        <sz val="11"/>
        <color theme="1"/>
        <rFont val="Calibri"/>
        <family val="2"/>
        <charset val="1"/>
      </rPr>
      <t xml:space="preserve"> và </t>
    </r>
    <r>
      <rPr>
        <sz val="10"/>
        <color theme="1"/>
        <rFont val="Arial Unicode MS"/>
      </rPr>
      <t>description</t>
    </r>
    <r>
      <rPr>
        <sz val="11"/>
        <color theme="1"/>
        <rFont val="Calibri"/>
        <family val="2"/>
        <charset val="1"/>
      </rPr>
      <t xml:space="preserve">; </t>
    </r>
    <r>
      <rPr>
        <sz val="10"/>
        <color theme="1"/>
        <rFont val="Arial Unicode MS"/>
      </rPr>
      <t>name</t>
    </r>
    <r>
      <rPr>
        <sz val="11"/>
        <color theme="1"/>
        <rFont val="Calibri"/>
        <family val="2"/>
        <charset val="1"/>
      </rPr>
      <t xml:space="preserve"> trùng với tên thư mục</t>
    </r>
  </si>
  <si>
    <t>A3</t>
  </si>
  <si>
    <t>Description</t>
  </si>
  <si>
    <t>Nói rõ khi nào dùng skill ("Use when…")</t>
  </si>
  <si>
    <t>A4</t>
  </si>
  <si>
    <t>Process</t>
  </si>
  <si>
    <t>Có các bước đánh số theo thứ tự</t>
  </si>
  <si>
    <t>A5</t>
  </si>
  <si>
    <t>Chỉ dẫn mở file</t>
  </si>
  <si>
    <t>Mọi file trong references/ và assets/ đều tồn tại và có chỉ dẫn "mở ở bước nào"</t>
  </si>
  <si>
    <t>A6</t>
  </si>
  <si>
    <t>Đặt file đúng chỗ</t>
  </si>
  <si>
    <t>references/ chứa quy tắc/checklist; template nằm trong assets/</t>
  </si>
  <si>
    <t>A7</t>
  </si>
  <si>
    <t>Không có domain knowledge</t>
  </si>
  <si>
    <t>Không có tên AUT, URL, test account, business rule của dự án trong skill</t>
  </si>
  <si>
    <t>A8</t>
  </si>
  <si>
    <t>Không chồng chéo</t>
  </si>
  <si>
    <t>Không có 2 skill có description trùng phạm vi (N/A nếu chỉ có 1 skill)</t>
  </si>
  <si>
    <t>A1</t>
  </si>
  <si>
    <t>A2</t>
  </si>
  <si>
    <t>Nhóm A</t>
  </si>
  <si>
    <t>Nhóm B</t>
  </si>
  <si>
    <t>Nhóm</t>
  </si>
  <si>
    <t>C1</t>
  </si>
  <si>
    <t>Clarification questions</t>
  </si>
  <si>
    <t>C2</t>
  </si>
  <si>
    <t>TR list</t>
  </si>
  <si>
    <t>Mỗi điểm mơ hồ hoặc edge case trong đáp án đều có dòng TR; mỗi TR trace về AC hoặc N/A</t>
  </si>
  <si>
    <t>C3</t>
  </si>
  <si>
    <t>TC độ phủ</t>
  </si>
  <si>
    <t>Mỗi TR có ít nhất 1 TC; edge case có TC riêng</t>
  </si>
  <si>
    <t>C4</t>
  </si>
  <si>
    <t>TC chất lượng</t>
  </si>
  <si>
    <t>Expected Result cụ thể, không có kiểu "works correctly"</t>
  </si>
  <si>
    <t>C5</t>
  </si>
  <si>
    <t>Tìm bug</t>
  </si>
  <si>
    <t>Tìm được ≥ N bug trong danh sách bug của đáp án</t>
  </si>
  <si>
    <t>C6</t>
  </si>
  <si>
    <t>Bug report</t>
  </si>
  <si>
    <t>Mỗi bug có steps, expected/observed, severity và priority kèm lý do; không bịa thông tin môi trường</t>
  </si>
  <si>
    <t>C7</t>
  </si>
  <si>
    <t>Không bịa</t>
  </si>
  <si>
    <t>Không có quy tắc nào được trình bày như requirement khi user story không nói</t>
  </si>
  <si>
    <t>Nhóm C</t>
  </si>
  <si>
    <t>Nội dung</t>
  </si>
  <si>
    <t>Cấu trúc và nội dung các file skill</t>
  </si>
  <si>
    <t>So sánh output với đáp án</t>
  </si>
  <si>
    <t>Bộ skill</t>
  </si>
  <si>
    <t>Độ phủ workflow</t>
  </si>
  <si>
    <t>Chất lượng output</t>
  </si>
  <si>
    <t>B1</t>
  </si>
  <si>
    <t>B2</t>
  </si>
  <si>
    <t>B3</t>
  </si>
  <si>
    <t>B4</t>
  </si>
  <si>
    <t>TC list</t>
  </si>
  <si>
    <t>Có output, và bằng chứng chat cho thấy output do skill tạo ra</t>
  </si>
  <si>
    <t>Có file TR, và bằng chứng cho thấy file do skill tạo ra</t>
  </si>
  <si>
    <t>Có file TC, và bằng chứng cho thấy file do skill tạo ra</t>
  </si>
  <si>
    <t>Có bug report, và bằng chứng cho thấy bug report do skill tạo ra</t>
  </si>
  <si>
    <t>Output files</t>
  </si>
  <si>
    <t>Kết quả</t>
  </si>
  <si>
    <t>Đạt/Không đạt</t>
  </si>
  <si>
    <t>Details</t>
  </si>
  <si>
    <t>Baseline</t>
  </si>
  <si>
    <r>
      <rPr>
        <b/>
        <sz val="11"/>
        <color rgb="FF00B050"/>
        <rFont val="Calibri"/>
        <family val="2"/>
      </rPr>
      <t>Đạt khi TẤT CẢ skill thỏa:</t>
    </r>
    <r>
      <rPr>
        <sz val="11"/>
        <color theme="1"/>
        <rFont val="Calibri"/>
        <family val="2"/>
        <charset val="1"/>
      </rPr>
      <t xml:space="preserve">
- Tên thư mục: chỉ chữ thường, số, gạch ngang (regex ^[a-z0-9]+(-[a-z0-9]+)*$), ≤ 64 ký tự
- Có đúng 1 file tên chính xác "SKILL.md" ở ngay gốc thư mục skill
</t>
    </r>
    <r>
      <rPr>
        <b/>
        <sz val="11"/>
        <color rgb="FFFF0000"/>
        <rFont val="Calibri"/>
        <family val="2"/>
      </rPr>
      <t>Không đạt nếu:</t>
    </r>
    <r>
      <rPr>
        <sz val="11"/>
        <color theme="1"/>
        <rFont val="Calibri"/>
        <family val="2"/>
        <charset val="1"/>
      </rPr>
      <t xml:space="preserve"> thư mục có chữ hoa/khoảng trắng/"_"/dấu tiếng Việt; file tên skill.md, SKILL.MD, SKILL.md.txt; SKILL.md nằm trong thư mục con
</t>
    </r>
  </si>
  <si>
    <r>
      <rPr>
        <b/>
        <sz val="11"/>
        <color rgb="FF00B050"/>
        <rFont val="Calibri"/>
        <family val="2"/>
      </rPr>
      <t>Đạt khi:</t>
    </r>
    <r>
      <rPr>
        <sz val="11"/>
        <color theme="1"/>
        <rFont val="Calibri"/>
        <family val="2"/>
        <charset val="1"/>
      </rPr>
      <t xml:space="preserve">
- SKILL.md bắt đầu bằng "---" ở dòng 1, có "---" đóng, YAML parse không lỗi
- Có "name", giống HỆT tên thư mục (phân biệt hoa thường)
- Có "description" không rỗng, ≤ 1024 ký tự, không chứa ký tự &lt; &gt;
</t>
    </r>
    <r>
      <rPr>
        <b/>
        <sz val="11"/>
        <color rgb="FFFF0000"/>
        <rFont val="Calibri"/>
        <family val="2"/>
      </rPr>
      <t>Không đạt nếu:</t>
    </r>
    <r>
      <rPr>
        <sz val="11"/>
        <color theme="1"/>
        <rFont val="Calibri"/>
        <family val="2"/>
        <charset val="1"/>
      </rPr>
      <t xml:space="preserve"> thiếu frontmatter/thiếu "---" đóng; name = "Test Case Generation" nhưng thư mục là "test-case-generation"; frontmatter không nằm ở dòng 1
Ghi chú: có thêm key khác (license, metadata…) không làm Không đạt
</t>
    </r>
  </si>
  <si>
    <r>
      <rPr>
        <b/>
        <sz val="11"/>
        <color rgb="FF00B050"/>
        <rFont val="Calibri"/>
        <family val="2"/>
      </rPr>
      <t>Đạt khi:</t>
    </r>
    <r>
      <rPr>
        <sz val="11"/>
        <color theme="1"/>
        <rFont val="Calibri"/>
        <family val="2"/>
        <charset val="1"/>
      </rPr>
      <t xml:space="preserve">
- Có mệnh đề kích hoạt: "Use when…" / "Use this skill when…" / "Dùng khi…"
- Nêu rõ HOẠT ĐỘNG + ĐẦU VÀO cụ thể (vd: "reviewing a user story before designing test cases")
- Đọc riêng description này không bị khớp với skill khác trong khóa học
</t>
    </r>
    <r>
      <rPr>
        <b/>
        <sz val="11"/>
        <color rgb="FFFF0000"/>
        <rFont val="Calibri"/>
        <family val="2"/>
      </rPr>
      <t>Không đạt nếu:</t>
    </r>
    <r>
      <rPr>
        <sz val="11"/>
        <color theme="1"/>
        <rFont val="Calibri"/>
        <family val="2"/>
        <charset val="1"/>
      </rPr>
      <t xml:space="preserve"> chỉ nói skill là gì ("This skill generates test cases"); mệnh đề kích hoạt quá chung ("Use when testing"); điều kiện kích hoạt chỉ viết trong thân SKILL.md
Khuyến nghị (không trừ điểm): nêu thêm đầu ra (vd "exports as Excel")
</t>
    </r>
  </si>
  <si>
    <r>
      <rPr>
        <b/>
        <sz val="11"/>
        <color rgb="FF00B050"/>
        <rFont val="Calibri"/>
        <family val="2"/>
      </rPr>
      <t>Đạt khi:</t>
    </r>
    <r>
      <rPr>
        <sz val="11"/>
        <color theme="1"/>
        <rFont val="Calibri"/>
        <family val="2"/>
        <charset val="1"/>
      </rPr>
      <t xml:space="preserve">
- SKILL.md có heading Process / Workflow / Steps / Quy trình
- Các bước đánh số liên tục từ 1, không nhảy số, không trùng số, tối thiểu 3 bước
- Mỗi bước bắt đầu bằng động từ hành động (Extract, Identify, Export…)
</t>
    </r>
    <r>
      <rPr>
        <b/>
        <sz val="11"/>
        <color rgb="FFFF0000"/>
        <rFont val="Calibri"/>
        <family val="2"/>
      </rPr>
      <t>Không đạt nếu:</t>
    </r>
    <r>
      <rPr>
        <sz val="11"/>
        <color theme="1"/>
        <rFont val="Calibri"/>
        <family val="2"/>
        <charset val="1"/>
      </rPr>
      <t xml:space="preserve"> viết thành đoạn văn hoặc bullet "-" không đánh số; số bị nhảy/trùng (1,2,4); quy trình chỉ nằm trong file references
Ghi chú: bước con (2a, 2b, bullet lồng trong 1 bước) được chấp nhận
</t>
    </r>
  </si>
  <si>
    <r>
      <rPr>
        <b/>
        <sz val="11"/>
        <color rgb="FF00B050"/>
        <rFont val="Calibri"/>
        <family val="2"/>
      </rPr>
      <t>Đạt khi:</t>
    </r>
    <r>
      <rPr>
        <sz val="11"/>
        <color theme="1"/>
        <rFont val="Calibri"/>
        <family val="2"/>
        <charset val="1"/>
      </rPr>
      <t xml:space="preserve">
- Mọi file trong references/ và assets/ đều được nhắc trong SKILL.md bằng đường dẫn tương đối (vd references/tc-writing-rules.md)
- Mọi đường dẫn được nhắc trong SKILL.md đều tồn tại (đúng chính tả, đúng hoa thường)
- Mỗi file có ghi mở ở bước nào ("Step N"), hoặc được nhắc ngay trong nội dung bước N; số bước đó phải có thật trong Process
</t>
    </r>
    <r>
      <rPr>
        <b/>
        <sz val="11"/>
        <color rgb="FFFF0000"/>
        <rFont val="Calibri"/>
        <family val="2"/>
      </rPr>
      <t>Không đạt nếu:</t>
    </r>
    <r>
      <rPr>
        <sz val="11"/>
        <color theme="1"/>
        <rFont val="Calibri"/>
        <family val="2"/>
        <charset val="1"/>
      </rPr>
      <t xml:space="preserve"> có file "mồ côi" không được nhắc; link gãy; chỉ ghi chung "see references folder"; liệt kê file nhưng không nói bước nào
</t>
    </r>
    <r>
      <rPr>
        <b/>
        <sz val="11"/>
        <color rgb="FFC00000"/>
        <rFont val="Calibri"/>
        <family val="2"/>
      </rPr>
      <t xml:space="preserve">N/A nếu: </t>
    </r>
    <r>
      <rPr>
        <sz val="11"/>
        <color theme="1"/>
        <rFont val="Calibri"/>
        <family val="2"/>
        <charset val="1"/>
      </rPr>
      <t xml:space="preserve">skill không có references/ lẫn assets/
</t>
    </r>
  </si>
  <si>
    <r>
      <rPr>
        <b/>
        <sz val="11"/>
        <color rgb="FF00B050"/>
        <rFont val="Calibri"/>
        <family val="2"/>
      </rPr>
      <t>Đạt khi:</t>
    </r>
    <r>
      <rPr>
        <sz val="11"/>
        <color theme="1"/>
        <rFont val="Calibri"/>
        <family val="2"/>
        <charset val="1"/>
      </rPr>
      <t xml:space="preserve">
- Gốc thư mục skill: chỉ có SKILL.md (cho phép LICENSE)
- references/: tài liệu để Claude ĐỌC (quy tắc, checklist, hướng dẫn, format) – .md/.txt
- assets/: file để DÙNG/SAO CHÉP vào đầu ra (template .xlsx/.docx, hình ảnh)
- scripts/: code chạy được (.py/.sh)
- Không có thư mục lạ (docs/, templates/…), file khóa ~$*.xlsx, file output đã điền dữ liệu
</t>
    </r>
    <r>
      <rPr>
        <b/>
        <sz val="11"/>
        <color rgb="FFFF0000"/>
        <rFont val="Calibri"/>
        <family val="2"/>
      </rPr>
      <t>Không đạt nếu:</t>
    </r>
    <r>
      <rPr>
        <sz val="11"/>
        <color theme="1"/>
        <rFont val="Calibri"/>
        <family val="2"/>
        <charset val="1"/>
      </rPr>
      <t xml:space="preserve"> template Excel nằm ở references/ hoặc ở gốc; checklist .md nằm trong assets/; file .py nằm trong references/
</t>
    </r>
    <r>
      <rPr>
        <b/>
        <sz val="11"/>
        <color theme="1"/>
        <rFont val="Calibri"/>
        <family val="2"/>
      </rPr>
      <t>Ghi chú:</t>
    </r>
    <r>
      <rPr>
        <sz val="11"/>
        <color theme="1"/>
        <rFont val="Calibri"/>
        <family val="2"/>
        <charset val="1"/>
      </rPr>
      <t xml:space="preserve"> code mẫu viết BÊN TRONG file .md của references vẫn được chấp nhận
</t>
    </r>
  </si>
  <si>
    <r>
      <t xml:space="preserve">Phạm vi quét: SKILL.md, references/, scripts/ VÀ nội dung trong assets/ (ô, sheet ẩn, dropdown của template)
</t>
    </r>
    <r>
      <rPr>
        <b/>
        <sz val="11"/>
        <color rgb="FFFF0000"/>
        <rFont val="Calibri"/>
        <family val="2"/>
      </rPr>
      <t>Không đạt nếu có:</t>
    </r>
    <r>
      <rPr>
        <sz val="11"/>
        <color theme="1"/>
        <rFont val="Calibri"/>
        <family val="2"/>
        <charset val="1"/>
      </rPr>
      <t xml:space="preserve">
- Tên AUT/sản phẩm/khách hàng thật
- URL, domain, IP, tên môi trường (staging, UAT server…)
- Tài khoản test, password, token, API key
- Business rule của dự án viết thành quy tắc (vd "giỏ hàng tối đa 20 sản phẩm")
- Danh sách cố định của dự án: module, màn hình, known issue, mã ticket
</t>
    </r>
    <r>
      <rPr>
        <b/>
        <sz val="11"/>
        <color rgb="FF00B050"/>
        <rFont val="Calibri"/>
        <family val="2"/>
      </rPr>
      <t>Được phép:</t>
    </r>
    <r>
      <rPr>
        <sz val="11"/>
        <color theme="1"/>
        <rFont val="Calibri"/>
        <family val="2"/>
        <charset val="1"/>
      </rPr>
      <t xml:space="preserve"> nguyên tắc QA chung; format template chung của team; ví dụ minh họa có ghi "e.g."; placeholder &lt;AUT name&gt;
Phép thử: "Dùng skill này cho dự án khác thì câu này còn đúng không?" Nếu không → Không đạt
</t>
    </r>
  </si>
  <si>
    <r>
      <rPr>
        <b/>
        <sz val="11"/>
        <color theme="1"/>
        <rFont val="Calibri"/>
        <family val="2"/>
      </rPr>
      <t>N/A nếu: chỉ có 1 skill</t>
    </r>
    <r>
      <rPr>
        <sz val="11"/>
        <color theme="1"/>
        <rFont val="Calibri"/>
        <family val="2"/>
        <charset val="1"/>
      </rPr>
      <t xml:space="preserve">
Cách kiểm tra: so description từng cặp skill; với mỗi skill viết 1 yêu cầu điển hình rồi xem yêu cầu đó có khớp với description của skill kia không
</t>
    </r>
    <r>
      <rPr>
        <b/>
        <sz val="11"/>
        <color rgb="FF00B050"/>
        <rFont val="Calibri"/>
        <family val="2"/>
      </rPr>
      <t>Đạt khi mỗi cặp:</t>
    </r>
    <r>
      <rPr>
        <sz val="11"/>
        <color theme="1"/>
        <rFont val="Calibri"/>
        <family val="2"/>
        <charset val="1"/>
      </rPr>
      <t xml:space="preserve">
- Khác HOẠT ĐỘNG hoặc khác ĐẦU VÀO; hoặc
- Nếu cùng đầu vào thì description có nêu ranh giới (vd "before designing test cases", "from the output of …", "Do NOT use for …")
</t>
    </r>
    <r>
      <rPr>
        <b/>
        <sz val="11"/>
        <color rgb="FFFF0000"/>
        <rFont val="Calibri"/>
        <family val="2"/>
      </rPr>
      <t>Không đạt nếu:</t>
    </r>
    <r>
      <rPr>
        <sz val="11"/>
        <color rgb="FFFF0000"/>
        <rFont val="Calibri"/>
        <family val="2"/>
      </rPr>
      <t xml:space="preserve"> </t>
    </r>
    <r>
      <rPr>
        <sz val="11"/>
        <color theme="1"/>
        <rFont val="Calibri"/>
        <family val="2"/>
        <charset val="1"/>
      </rPr>
      <t xml:space="preserve">2 description gần như diễn đạt lại nhau; 1 description bao trùm description kia ("Use for any QA task")
</t>
    </r>
  </si>
  <si>
    <r>
      <rPr>
        <b/>
        <sz val="11"/>
        <color rgb="FF00B050"/>
        <rFont val="Calibri"/>
        <family val="2"/>
      </rPr>
      <t>Đạt khi ĐỦ cả 2:</t>
    </r>
    <r>
      <rPr>
        <sz val="11"/>
        <color theme="1"/>
        <rFont val="Calibri"/>
        <family val="2"/>
        <charset val="1"/>
      </rPr>
      <t xml:space="preserve">
1. Có output: phần Markdown analysis trong chat có section "Clarification questions", chia 2 nhóm "Must ask" và "Nice to confirm", mỗi nhóm có ≥1 câu hỏi (nhóm không có câu nào phải ghi rõ "None" kèm lý do)
2. Bằng chứng do skill tạo: transcript cho thấy skill test-requirements-analysis được gọi (tên skill trong tool call, hoặc Claude đọc SKILL.md của skill), và câu hỏi xuất hiện trong câu trả lời của Claude NGAY SAU lần gọi đó, trong cùng chat
</t>
    </r>
    <r>
      <rPr>
        <b/>
        <sz val="11"/>
        <color rgb="FFFF0000"/>
        <rFont val="Calibri"/>
        <family val="2"/>
      </rPr>
      <t>Không đạt nếu:</t>
    </r>
    <r>
      <rPr>
        <sz val="11"/>
        <color theme="1"/>
        <rFont val="Calibri"/>
        <family val="2"/>
        <charset val="1"/>
      </rPr>
      <t xml:space="preserve"> chỉ nộp ảnh chụp/file text câu hỏi mà không có transcript; câu hỏi do học viên tự gõ vào chat; câu hỏi không chia Must ask/Nice to confirm; transcript bị cắt mất đoạn gọi skill.
</t>
    </r>
  </si>
  <si>
    <r>
      <rPr>
        <b/>
        <sz val="11"/>
        <color rgb="FF00B050"/>
        <rFont val="Calibri"/>
        <family val="2"/>
      </rPr>
      <t>Đạt khi ĐỦ cả 3:</t>
    </r>
    <r>
      <rPr>
        <sz val="11"/>
        <color theme="1"/>
        <rFont val="Calibri"/>
        <family val="2"/>
        <charset val="1"/>
      </rPr>
      <t xml:space="preserve">
1. Có file .xlsx, sheet "Test Requirement", đủ cột: AC ID | Acceptance Criteria | TR ID | Test Requirements | Notes, có ≥1 dòng dữ liệu
2. Transcript cho thấy skill test-requirements-analysis được gọi, và trong cùng chat có code Python tạo ra file đó (tên file trong code = tên file nộp)
3. File được tạo bằng cách sao chép template từ assets/ (giữ nguyên tiêu đề "Requirements Traceability Matrix", style, độ rộng cột), không phải dựng lại từ đầu
</t>
    </r>
    <r>
      <rPr>
        <b/>
        <sz val="11"/>
        <color rgb="FFFF0000"/>
        <rFont val="Calibri"/>
        <family val="2"/>
      </rPr>
      <t>Không đạt nếu:</t>
    </r>
    <r>
      <rPr>
        <sz val="11"/>
        <color theme="1"/>
        <rFont val="Calibri"/>
        <family val="2"/>
        <charset val="1"/>
      </rPr>
      <t xml:space="preserve"> không có transcript; tên file nộp không khớp file tạo trong chat; file thiếu cột hoặc sai tên sheet; file do học viên tự làm bằng tay
Ghi chú: được phép sửa tay sau khi skill tạo file (sẽ được chấm điểm ở mục tư duy phản biện), nhưng phải giữ nguyên cấu trúc và học viên phải ghi lại những chỗ đã sửa
</t>
    </r>
  </si>
  <si>
    <r>
      <rPr>
        <b/>
        <sz val="11"/>
        <color rgb="FF00B050"/>
        <rFont val="Calibri"/>
        <family val="2"/>
      </rPr>
      <t>Đạt khi ĐỦ cả 4:</t>
    </r>
    <r>
      <rPr>
        <sz val="11"/>
        <color theme="1"/>
        <rFont val="Calibri"/>
        <family val="2"/>
        <charset val="1"/>
      </rPr>
      <t xml:space="preserve">
1. Có file .xlsx, sheet "TC List", đủ cột: TR ID | TC ID | TC Summary | Pre-Condition | Steps | Expected Result | Notes, có ≥1 dòng dữ liệu
2. Transcript cho thấy skill test-case-generation được gọi, và trong cùng chat có code Python tạo ra file đó (tên file trong code = tên file nộp)
3. File được tạo bằng cách sao chép template từ assets/ (giữ tiêu đề "Test Case List", style, độ rộng cột)
4. Có nối tiếp workflow: các giá trị TR ID trong file TC đều có trong file TR đã nộp ở B2 (chứng minh file TC được sinh từ file TR, không chạy độc lập)
</t>
    </r>
    <r>
      <rPr>
        <b/>
        <sz val="11"/>
        <color rgb="FFFF0000"/>
        <rFont val="Calibri"/>
        <family val="2"/>
      </rPr>
      <t xml:space="preserve">Không đạt nếu: </t>
    </r>
    <r>
      <rPr>
        <sz val="11"/>
        <color theme="1"/>
        <rFont val="Calibri"/>
        <family val="2"/>
        <charset val="1"/>
      </rPr>
      <t>không có transcript; tên file không khớp; thiếu cột hoặc sai tên sheet; TR ID trong file TC không có trong file TR
Ghi chú: được phép sửa tay sau khi skill tạo file nếu giữ nguyên cấu trúc và học viên ghi lại những chỗ đã sửa</t>
    </r>
  </si>
  <si>
    <r>
      <rPr>
        <b/>
        <sz val="11"/>
        <color rgb="FF00B050"/>
        <rFont val="Calibri"/>
        <family val="2"/>
      </rPr>
      <t>Đạt khi ĐỦ cả 3:</t>
    </r>
    <r>
      <rPr>
        <sz val="11"/>
        <color theme="1"/>
        <rFont val="Calibri"/>
        <family val="2"/>
        <charset val="1"/>
      </rPr>
      <t xml:space="preserve">
1. Có Markdown analysis trong chat với đủ 5 section: Evidence Reviewed | Error Patterns &amp; Root Cause Hypotheses | Facts vs. Assumptions vs. Hypotheses | Impact, Severity &amp; Priority Assessment | Missing Information &amp; Recommended Next Investigation
2. Có file .xlsx, sheet "Bug List", đủ 14 cột: ID | Summary | Description | Pre-Condition | Steps to Reproduce | Screenshot | Build found | Reproducibility | Severity | Frequency | Priority | Keyword | Status | Note, có ≥1 bug, dropdown được giữ nguyên từ template
3. Transcript cho thấy skill defect-analysis-reporting được gọi, có tải bằng chứng gốc (screenshot/log) lên, và trong cùng chat có code Python tạo ra file (tên file khớp)
</t>
    </r>
    <r>
      <rPr>
        <b/>
        <sz val="11"/>
        <color rgb="FFFF0000"/>
        <rFont val="Calibri"/>
        <family val="2"/>
      </rPr>
      <t>Không đạt nếu:</t>
    </r>
    <r>
      <rPr>
        <sz val="11"/>
        <color theme="1"/>
        <rFont val="Calibri"/>
        <family val="2"/>
        <charset val="1"/>
      </rPr>
      <t xml:space="preserve"> thiếu 1 trong 2 output (Markdown hoặc Excel); thiếu section; không có transcript; file không tạo từ template; bằng chứng gốc trong chat khác với bằng chứng học viên nộp</t>
    </r>
  </si>
  <si>
    <t>Trọng số</t>
  </si>
  <si>
    <t>Nêu được điểm mơ hồ trong đáp án; có chia "Must ask" và "Nice to confirm"</t>
  </si>
  <si>
    <r>
      <rPr>
        <b/>
        <sz val="11"/>
        <color theme="1"/>
        <rFont val="Calibri"/>
        <family val="2"/>
      </rPr>
      <t>Đối chiếu: danh sách điểm mơ hồ trong đáp án</t>
    </r>
    <r>
      <rPr>
        <sz val="11"/>
        <color theme="1"/>
        <rFont val="Calibri"/>
        <family val="2"/>
        <charset val="1"/>
      </rPr>
      <t xml:space="preserve">
Quy tắc khớp: một câu hỏi được tính là khớp nếu hỏi đúng điểm mơ hồ đó, không cần trùng câu chữ; một câu hỏi gộp nhiều điểm thì tính cho từng điểm
</t>
    </r>
    <r>
      <rPr>
        <b/>
        <sz val="11"/>
        <color rgb="FF00B050"/>
        <rFont val="Calibri"/>
        <family val="2"/>
      </rPr>
      <t>Đạt khi ĐỦ:</t>
    </r>
    <r>
      <rPr>
        <sz val="11"/>
        <color theme="1"/>
        <rFont val="Calibri"/>
        <family val="2"/>
        <charset val="1"/>
      </rPr>
      <t xml:space="preserve">
- Tìm được ≥ 70% tổng số điểm mơ hồ
- Mọi điểm mơ hồ Bắt buộc mà học viên tìm được đều nằm ở nhóm "Must ask", không xếp vào "Nice to confirm"
- Có đủ 2 nhóm "Must ask" và "Nice to confirm"
</t>
    </r>
    <r>
      <rPr>
        <b/>
        <sz val="11"/>
        <color rgb="FFFF0000"/>
        <rFont val="Calibri"/>
        <family val="2"/>
      </rPr>
      <t>Không đạt nếu:</t>
    </r>
    <r>
      <rPr>
        <sz val="11"/>
        <color theme="1"/>
        <rFont val="Calibri"/>
        <family val="2"/>
        <charset val="1"/>
      </rPr>
      <t xml:space="preserve"> bỏ sót 1 điểm mơ hồ Bắt buộc; xếp điểm mơ hồ Bắt buộc vào "Nice to confirm"; câu hỏi chung chung không chỉ ra được điểm mơ hồ nào ("Có yêu cầu gì thêm không?")
Ghi chú: câu hỏi hợp lý nhưng không có trong đáp án thì không trừ điểm, ghi lại để cập nhật đáp án</t>
    </r>
  </si>
  <si>
    <r>
      <rPr>
        <b/>
        <sz val="11"/>
        <color theme="1"/>
        <rFont val="Calibri"/>
        <family val="2"/>
      </rPr>
      <t>Đối chiếu: danh sách AC trong user story + điểm mơ hồ trong đáp án</t>
    </r>
    <r>
      <rPr>
        <sz val="11"/>
        <color theme="1"/>
        <rFont val="Calibri"/>
        <family val="2"/>
        <charset val="1"/>
      </rPr>
      <t xml:space="preserve">
</t>
    </r>
    <r>
      <rPr>
        <b/>
        <sz val="11"/>
        <color rgb="FF00B050"/>
        <rFont val="Calibri"/>
        <family val="2"/>
      </rPr>
      <t>Đạt khi ĐỦ:</t>
    </r>
    <r>
      <rPr>
        <sz val="11"/>
        <color theme="1"/>
        <rFont val="Calibri"/>
        <family val="2"/>
        <charset val="1"/>
      </rPr>
      <t xml:space="preserve">
- Mọi AC trong user story có ≥ 1 dòng TR
- ≥ 70% tổng số điêmr mơ hồ có dòng TR tương ứng
- 100% dòng TR có AC ID đúng (AC đó có thật trong user story) hoặc ghi "N/A"; dòng N/A phải có Notes ghi rõ nguồn gốc (Edge case / Risk / Assumption / Missing info)
</t>
    </r>
    <r>
      <rPr>
        <b/>
        <sz val="11"/>
        <color rgb="FFFF0000"/>
        <rFont val="Calibri"/>
        <family val="2"/>
      </rPr>
      <t xml:space="preserve">Không đạt nếu: </t>
    </r>
    <r>
      <rPr>
        <sz val="11"/>
        <color theme="1"/>
        <rFont val="Calibri"/>
        <family val="2"/>
        <charset val="1"/>
      </rPr>
      <t xml:space="preserve">có AC không có TR; thiếu TR cho điểm mơ hồ Bắt buộc; TR ghi AC ID không tồn tại; edge case bị gán vào một AC không liên quan thay vì ghi N/A
</t>
    </r>
  </si>
  <si>
    <r>
      <rPr>
        <b/>
        <sz val="11"/>
        <color theme="1"/>
        <rFont val="Calibri"/>
        <family val="2"/>
      </rPr>
      <t>Đối chiếu: file TR của chính học viên + edge cases trong đáp án</t>
    </r>
    <r>
      <rPr>
        <sz val="11"/>
        <color theme="1"/>
        <rFont val="Calibri"/>
        <family val="2"/>
        <charset val="1"/>
      </rPr>
      <t xml:space="preserve">
</t>
    </r>
    <r>
      <rPr>
        <b/>
        <sz val="11"/>
        <color rgb="FF00B050"/>
        <rFont val="Calibri"/>
        <family val="2"/>
      </rPr>
      <t>Đạt khi ĐỦ:</t>
    </r>
    <r>
      <rPr>
        <sz val="11"/>
        <color theme="1"/>
        <rFont val="Calibri"/>
        <family val="2"/>
        <charset val="1"/>
      </rPr>
      <t xml:space="preserve">
- Mọi TR ID trong file TR đều xuất hiện ít nhất 1 lần ở cột TR ID của file TC (đối chiếu từng ID)
- Mỗi dòng TR có Notes là "Edge case" đều có ≥ 1 TC riêng, tức là TC Summary nhắm đúng edge case đó, không gộp chung vào TC happy path
- Mọi edge case Bắt buộc trong đáp án có ≥ 1 TC kiểm tra
</t>
    </r>
    <r>
      <rPr>
        <b/>
        <sz val="11"/>
        <color rgb="FFFF0000"/>
        <rFont val="Calibri"/>
        <family val="2"/>
      </rPr>
      <t xml:space="preserve">Không đạt nếu: </t>
    </r>
    <r>
      <rPr>
        <sz val="11"/>
        <color theme="1"/>
        <rFont val="Calibri"/>
        <family val="2"/>
        <charset val="1"/>
      </rPr>
      <t xml:space="preserve">có TR không có TC nào; edge case chỉ được nhắc kèm trong một TC khác; TR bị đánh dấu BLOCKED mà không có TC đi kèm cũng không ghi lý do
</t>
    </r>
    <r>
      <rPr>
        <b/>
        <sz val="11"/>
        <color theme="1"/>
        <rFont val="Calibri"/>
        <family val="2"/>
      </rPr>
      <t>Ghi chú:</t>
    </r>
    <r>
      <rPr>
        <sz val="11"/>
        <color theme="1"/>
        <rFont val="Calibri"/>
        <family val="2"/>
        <charset val="1"/>
      </rPr>
      <t xml:space="preserve"> TR đánh dấu BLOCKED được phép có TC mang flag BLOCKED, vẫn tính là có độ phủ
</t>
    </r>
  </si>
  <si>
    <r>
      <rPr>
        <b/>
        <sz val="11"/>
        <color theme="1"/>
        <rFont val="Calibri"/>
        <family val="2"/>
      </rPr>
      <t>Đối chiếu: toàn bộ cột Expected Result (nếu &gt; 50 TC: kiểm tra toàn bộ TC edge case + ngẫu nhiên 20 TC còn lại)</t>
    </r>
    <r>
      <rPr>
        <sz val="11"/>
        <color theme="1"/>
        <rFont val="Calibri"/>
        <family val="2"/>
        <charset val="1"/>
      </rPr>
      <t xml:space="preserve">
Expected Result được coi là cụ thể khi nêu được ít nhất 1 điều quan sát được: nội dung message, giá trị hiển thị, màn hình chuyển đến, trạng thái của field/button, dữ liệu được lưu hoặc không được lưu
Danh sách cụm từ cấm khi đứng một mình: "works correctly/properly/as expected", "displayed correctly", "no error", "success", "OK", "hoạt động bình thường/đúng"
</t>
    </r>
    <r>
      <rPr>
        <b/>
        <sz val="11"/>
        <color rgb="FF00B050"/>
        <rFont val="Calibri"/>
        <family val="2"/>
      </rPr>
      <t>Đạt khi:</t>
    </r>
    <r>
      <rPr>
        <sz val="11"/>
        <color theme="1"/>
        <rFont val="Calibri"/>
        <family val="2"/>
        <charset val="1"/>
      </rPr>
      <t xml:space="preserve"> 0 Expected Result vi phạm, và Steps có dữ liệu test cụ thể (không ghi chung "nhập dữ liệu hợp lệ")
</t>
    </r>
    <r>
      <rPr>
        <b/>
        <sz val="11"/>
        <color rgb="FFFF0000"/>
        <rFont val="Calibri"/>
        <family val="2"/>
      </rPr>
      <t>Không đạt nếu:</t>
    </r>
    <r>
      <rPr>
        <sz val="11"/>
        <color theme="1"/>
        <rFont val="Calibri"/>
        <family val="2"/>
        <charset val="1"/>
      </rPr>
      <t xml:space="preserve"> có ≥ 1 Expected Result vi phạm. Ghi lại TC ID kèm câu trích dẫn
</t>
    </r>
  </si>
  <si>
    <r>
      <rPr>
        <b/>
        <sz val="11"/>
        <color theme="1"/>
        <rFont val="Calibri"/>
        <family val="2"/>
      </rPr>
      <t>Đối chiếu: danh sách bug cài sẵn trong đáp án (BUG-xx), mỗi bug có nhãn severity</t>
    </r>
    <r>
      <rPr>
        <sz val="11"/>
        <color theme="1"/>
        <rFont val="Calibri"/>
        <family val="2"/>
        <charset val="1"/>
      </rPr>
      <t xml:space="preserve">
Quy tắc khớp: bug của học viên được tính là khớp 1 BUG-xx nếu đúng vị trí và đúng triệu chứng; nhiều report cùng nguyên nhân chỉ tính 1 lần
N = 60% tổng số BUG-xx (làm tròn lên), ví dụ đề có 5 bug thì N = 3
</t>
    </r>
    <r>
      <rPr>
        <b/>
        <sz val="11"/>
        <color rgb="FF00B050"/>
        <rFont val="Calibri"/>
        <family val="2"/>
      </rPr>
      <t>Đạt khi ĐỦ:</t>
    </r>
    <r>
      <rPr>
        <sz val="11"/>
        <color theme="1"/>
        <rFont val="Calibri"/>
        <family val="2"/>
        <charset val="1"/>
      </rPr>
      <t xml:space="preserve">
- Tìm được ≥ N bug khớp
- Tìm được 100% BUG có severity Critical/Major
Không đạt nếu: &lt; N bug khớp, hoặc bỏ sót 1 bug Critical/Major
</t>
    </r>
    <r>
      <rPr>
        <b/>
        <sz val="11"/>
        <color theme="1"/>
        <rFont val="Calibri"/>
        <family val="2"/>
      </rPr>
      <t>Ghi chú:</t>
    </r>
    <r>
      <rPr>
        <sz val="11"/>
        <color theme="1"/>
        <rFont val="Calibri"/>
        <family val="2"/>
        <charset val="1"/>
      </rPr>
      <t xml:space="preserve"> bug ngoài đáp án mà grader xác nhận là bug thật thì ghi nhận, không tính vào N; bug không tái hiện được hoặc là hành vi đúng theo spec thì ghi vào Baseline là false positive
</t>
    </r>
  </si>
  <si>
    <r>
      <rPr>
        <b/>
        <sz val="11"/>
        <color theme="1"/>
        <rFont val="Calibri"/>
        <family val="2"/>
      </rPr>
      <t>Đối chiếu: từng bug trong file Bug List + tài liệu đề thi (danh sách thông tin môi trường mà đề có cung cấp)</t>
    </r>
    <r>
      <rPr>
        <sz val="11"/>
        <color theme="1"/>
        <rFont val="Calibri"/>
        <family val="2"/>
        <charset val="1"/>
      </rPr>
      <t xml:space="preserve">
</t>
    </r>
    <r>
      <rPr>
        <b/>
        <sz val="11"/>
        <color rgb="FF00B050"/>
        <rFont val="Calibri"/>
        <family val="2"/>
      </rPr>
      <t>Đạt khi MỖI bug thỏa:</t>
    </r>
    <r>
      <rPr>
        <sz val="11"/>
        <color theme="1"/>
        <rFont val="Calibri"/>
        <family val="2"/>
        <charset val="1"/>
      </rPr>
      <t xml:space="preserve">
- Steps to Reproduce: đánh số, bắt đầu từ trạng thái ban đầu rõ ràng, người khác làm theo được
- Có cả Expected Result và Observed Result, và hai cái khác nhau
- Severity và Priority lấy từ giá trị trong dropdown, mỗi cái có lý do riêng (trong Note hoặc phần Markdown "Impact, Severity &amp; Priority")
- Build found / browser / OS: chỉ điền nếu có trong đề; nếu đề không có thì để trống và ghi "not provided" trong Note
</t>
    </r>
    <r>
      <rPr>
        <b/>
        <sz val="11"/>
        <color rgb="FFFF0000"/>
        <rFont val="Calibri"/>
        <family val="2"/>
      </rPr>
      <t>Không đạt nếu:</t>
    </r>
    <r>
      <rPr>
        <sz val="11"/>
        <color theme="1"/>
        <rFont val="Calibri"/>
        <family val="2"/>
        <charset val="1"/>
      </rPr>
      <t xml:space="preserve"> có 1 bug thiếu steps / expected / observed; Severity hoặc Priority không có lý do; điền thông tin môi trường không có trong đề (bịa)
Tùy chọn (anh quyết định có áp dụng không): Severity lệch quá 1 mức so với đáp án thì Không đạt</t>
    </r>
  </si>
  <si>
    <r>
      <rPr>
        <b/>
        <sz val="11"/>
        <color theme="1"/>
        <rFont val="Calibri"/>
        <family val="2"/>
      </rPr>
      <t>Đối chiếu: nguyên văn user story / AC của đề + Notes của TR/TC</t>
    </r>
    <r>
      <rPr>
        <sz val="11"/>
        <color theme="1"/>
        <rFont val="Calibri"/>
        <family val="2"/>
        <charset val="1"/>
      </rPr>
      <t xml:space="preserve">
Cách kiểm tra: liệt kê mọi quy tắc cụ thể xuất hiện trong TR, Expected Result và Steps (giới hạn số, độ dài, format, nội dung message lỗi, phân quyền, thứ tự xử lý), rồi tìm từng quy tắc trong user story
</t>
    </r>
    <r>
      <rPr>
        <b/>
        <sz val="11"/>
        <color rgb="FF00B050"/>
        <rFont val="Calibri"/>
        <family val="2"/>
      </rPr>
      <t>Đạt khi:</t>
    </r>
    <r>
      <rPr>
        <sz val="11"/>
        <color theme="1"/>
        <rFont val="Calibri"/>
        <family val="2"/>
        <charset val="1"/>
      </rPr>
      <t xml:space="preserve"> mọi quy tắc KHÔNG có trong user story đều được đánh dấu "Assumption —" hoặc "BLOCKED —", hoặc được đưa vào câu hỏi clarification
</t>
    </r>
    <r>
      <rPr>
        <b/>
        <sz val="11"/>
        <color rgb="FFFF0000"/>
        <rFont val="Calibri"/>
        <family val="2"/>
      </rPr>
      <t xml:space="preserve">Không đạt nếu: </t>
    </r>
    <r>
      <rPr>
        <sz val="11"/>
        <color theme="1"/>
        <rFont val="Calibri"/>
        <family val="2"/>
        <charset val="1"/>
      </rPr>
      <t>có ≥ 1 quy tắc không có trong user story nhưng được viết như requirement đã xác nhận
Ví dụ Không đạt: user story không nói độ dài password, nhưng TC ghi Expected "Hiển thị lỗi 'Password must be 8–20 characters'" mà không có flag Assumption</t>
    </r>
  </si>
  <si>
    <t>Điểm</t>
  </si>
  <si>
    <t>Ghi Chú</t>
  </si>
  <si>
    <t>Cứ 1 lỗi trừ 1 điểm</t>
  </si>
  <si>
    <t>Cứ 1 lỗi trừ 2 điểm</t>
  </si>
  <si>
    <t>Pass/Fail</t>
  </si>
  <si>
    <r>
      <rPr>
        <b/>
        <sz val="11"/>
        <color rgb="FF00B050"/>
        <rFont val="Calibri"/>
        <family val="2"/>
      </rPr>
      <t>Tổng điểm &gt;= 70 điểm =&gt; PASS</t>
    </r>
    <r>
      <rPr>
        <b/>
        <sz val="11"/>
        <color theme="1"/>
        <rFont val="Calibri"/>
        <family val="2"/>
      </rPr>
      <t xml:space="preserve">
</t>
    </r>
    <r>
      <rPr>
        <b/>
        <sz val="11"/>
        <color rgb="FFFF0000"/>
        <rFont val="Calibri"/>
        <family val="2"/>
      </rPr>
      <t>Tổng điểm &lt; 70 điểm =&gt; FAIL</t>
    </r>
  </si>
  <si>
    <t>Có đủ output và đều do skill tạo ra</t>
  </si>
  <si>
    <t>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</si>
</sst>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font>
      <sz val="11"/>
      <color theme="1"/>
      <name val="Calibri"/>
      <family val="2"/>
      <charset val="1"/>
    </font>
    <font>
      <sz val="10"/>
      <color theme="1"/>
      <name val="Arial Unicode MS"/>
    </font>
    <font>
      <b/>
      <sz val="11"/>
      <color theme="1"/>
      <name val="Calibri"/>
      <family val="2"/>
    </font>
    <font>
      <b/>
      <sz val="11"/>
      <color theme="0"/>
      <name val="Calibri"/>
      <family val="2"/>
    </font>
    <font>
      <b/>
      <sz val="11"/>
      <color rgb="FFFF0000"/>
      <name val="Calibri"/>
      <family val="2"/>
    </font>
    <font>
      <b/>
      <sz val="11"/>
      <color rgb="FF00B050"/>
      <name val="Calibri"/>
      <family val="2"/>
    </font>
    <font>
      <sz val="11"/>
      <color theme="1"/>
      <name val="Calibri"/>
      <family val="2"/>
    </font>
    <font>
      <sz val="11"/>
      <color rgb="FFFF0000"/>
      <name val="Calibri"/>
      <family val="2"/>
    </font>
    <font>
      <b/>
      <sz val="11"/>
      <color rgb="FFC00000"/>
      <name val="Calibri"/>
      <family val="2"/>
    </font>
  </fonts>
  <fills count="5">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theme="9" tint="-0.249977111117893"/>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3">
    <xf numFmtId="0" fontId="0" fillId="0" borderId="0" xfId="0"/>
    <xf numFmtId="0" fontId="0" fillId="0" borderId="1" xfId="0" applyBorder="1" applyAlignment="1">
      <alignment horizontal="left" vertical="top" wrapText="1"/>
    </xf>
    <xf numFmtId="0" fontId="2" fillId="2" borderId="1" xfId="0" applyFont="1" applyFill="1" applyBorder="1" applyAlignment="1">
      <alignment horizontal="left" vertical="top" wrapText="1"/>
    </xf>
    <xf numFmtId="0" fontId="3" fillId="3" borderId="1" xfId="0" applyFont="1" applyFill="1" applyBorder="1" applyAlignment="1">
      <alignment horizontal="left" vertical="top" wrapText="1"/>
    </xf>
    <xf numFmtId="0" fontId="0" fillId="0" borderId="1" xfId="0" applyBorder="1" applyAlignment="1">
      <alignment vertical="top" wrapText="1"/>
    </xf>
    <xf numFmtId="0" fontId="2" fillId="2" borderId="0" xfId="0" applyFont="1" applyFill="1" applyAlignment="1">
      <alignment vertical="top" wrapText="1"/>
    </xf>
    <xf numFmtId="0" fontId="0" fillId="0" borderId="0" xfId="0" applyAlignment="1">
      <alignment vertical="top" wrapText="1"/>
    </xf>
    <xf numFmtId="0" fontId="6" fillId="0" borderId="1" xfId="0" applyFont="1" applyBorder="1" applyAlignment="1">
      <alignment vertical="top" wrapText="1"/>
    </xf>
    <xf numFmtId="0" fontId="0" fillId="0" borderId="0" xfId="0" applyAlignment="1">
      <alignment horizontal="center" vertical="center"/>
    </xf>
    <xf numFmtId="0" fontId="2" fillId="2" borderId="1" xfId="0" applyFont="1" applyFill="1" applyBorder="1" applyAlignment="1">
      <alignment horizontal="center" vertical="center" wrapText="1"/>
    </xf>
    <xf numFmtId="0" fontId="0" fillId="0" borderId="1" xfId="0" applyBorder="1" applyAlignment="1">
      <alignment horizontal="center" vertical="center"/>
    </xf>
    <xf numFmtId="0" fontId="2" fillId="2" borderId="0" xfId="0" applyFont="1" applyFill="1" applyAlignment="1">
      <alignment horizontal="center" vertical="center"/>
    </xf>
    <xf numFmtId="0" fontId="3" fillId="4"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0" fillId="0" borderId="1" xfId="0" applyBorder="1" applyAlignment="1">
      <alignment horizontal="center" vertical="top" wrapText="1"/>
    </xf>
    <xf numFmtId="0" fontId="0" fillId="0" borderId="3" xfId="0" applyBorder="1" applyAlignment="1">
      <alignment horizontal="center" vertical="top" wrapText="1"/>
    </xf>
    <xf numFmtId="0" fontId="0" fillId="0" borderId="5" xfId="0" applyBorder="1" applyAlignment="1">
      <alignment horizontal="center" vertical="top" wrapText="1"/>
    </xf>
    <xf numFmtId="0" fontId="3" fillId="4" borderId="2" xfId="0" applyFont="1" applyFill="1" applyBorder="1" applyAlignment="1">
      <alignment horizontal="center" vertical="top" wrapText="1"/>
    </xf>
    <xf numFmtId="0" fontId="2" fillId="0" borderId="4" xfId="0" applyFont="1" applyBorder="1" applyAlignment="1">
      <alignment horizontal="center" vertical="top" wrapText="1"/>
    </xf>
    <xf numFmtId="0" fontId="0" fillId="0" borderId="1" xfId="0" applyBorder="1" applyAlignment="1">
      <alignment horizontal="center" vertical="top"/>
    </xf>
    <xf numFmtId="0" fontId="0" fillId="0" borderId="0" xfId="0" applyAlignment="1">
      <alignment horizontal="center"/>
    </xf>
    <xf numFmtId="0" fontId="3" fillId="4" borderId="1" xfId="0" applyFont="1" applyFill="1" applyBorder="1" applyAlignment="1">
      <alignment horizontal="center" vertical="top" wrapText="1"/>
    </xf>
    <xf numFmtId="0" fontId="2" fillId="2"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colors>
    <indexedColors>
      <rgbColor rgb="FF000000"/>
      <rgbColor rgb="FFFCE4D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3315C"/>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44"/>
  <sheetViews>
    <sheetView showGridLines="0" tabSelected="1" workbookViewId="0">
      <selection activeCell="H10" sqref="H10"/>
    </sheetView>
  </sheetViews>
  <sheetFormatPr defaultRowHeight="14.4"/>
  <cols>
    <col min="1" max="1" width="3.88671875" customWidth="1"/>
    <col min="2" max="2" width="8.77734375" style="6" customWidth="1"/>
    <col min="3" max="3" width="17" style="6" customWidth="1"/>
    <col min="4" max="4" width="36.6640625" style="6" customWidth="1"/>
    <col min="5" max="5" width="19.5546875" style="6" customWidth="1"/>
    <col min="6" max="6" width="41.88671875" style="6" bestFit="1" customWidth="1"/>
    <col min="7" max="7" width="13.5546875" style="8" customWidth="1"/>
    <col min="8" max="8" width="22" style="20" customWidth="1"/>
    <col min="9" max="9" width="20.77734375" customWidth="1"/>
  </cols>
  <sheetData>
    <row r="2" spans="2:8">
      <c r="B2" s="3" t="s">
        <v>30</v>
      </c>
      <c r="C2" s="3" t="s">
        <v>52</v>
      </c>
      <c r="D2" s="3" t="s">
        <v>2</v>
      </c>
      <c r="E2" s="13" t="s">
        <v>93</v>
      </c>
      <c r="F2" s="17" t="s">
        <v>97</v>
      </c>
    </row>
    <row r="3" spans="2:8">
      <c r="B3" s="1" t="s">
        <v>28</v>
      </c>
      <c r="C3" s="1" t="s">
        <v>55</v>
      </c>
      <c r="D3" s="1" t="s">
        <v>53</v>
      </c>
      <c r="E3" s="10">
        <f>G7</f>
        <v>40</v>
      </c>
      <c r="F3" s="18" t="s">
        <v>98</v>
      </c>
    </row>
    <row r="4" spans="2:8">
      <c r="B4" s="1" t="s">
        <v>29</v>
      </c>
      <c r="C4" s="1" t="s">
        <v>67</v>
      </c>
      <c r="D4" s="1" t="s">
        <v>99</v>
      </c>
      <c r="E4" s="10">
        <f>G19</f>
        <v>30</v>
      </c>
      <c r="F4" s="15"/>
    </row>
    <row r="5" spans="2:8">
      <c r="B5" s="1" t="s">
        <v>51</v>
      </c>
      <c r="C5" s="1" t="s">
        <v>57</v>
      </c>
      <c r="D5" s="1" t="s">
        <v>54</v>
      </c>
      <c r="E5" s="10">
        <f>G27</f>
        <v>30</v>
      </c>
      <c r="F5" s="16"/>
    </row>
    <row r="7" spans="2:8">
      <c r="B7" s="5" t="s">
        <v>28</v>
      </c>
      <c r="C7" s="5" t="s">
        <v>0</v>
      </c>
      <c r="G7" s="11">
        <f>SUM(G10:G17)</f>
        <v>40</v>
      </c>
    </row>
    <row r="9" spans="2:8">
      <c r="B9" s="2" t="s">
        <v>1</v>
      </c>
      <c r="C9" s="2" t="s">
        <v>2</v>
      </c>
      <c r="D9" s="2" t="s">
        <v>3</v>
      </c>
      <c r="E9" s="2" t="s">
        <v>68</v>
      </c>
      <c r="F9" s="2" t="s">
        <v>70</v>
      </c>
      <c r="G9" s="9" t="s">
        <v>93</v>
      </c>
      <c r="H9" s="21" t="s">
        <v>94</v>
      </c>
    </row>
    <row r="10" spans="2:8" ht="144">
      <c r="B10" s="1" t="s">
        <v>26</v>
      </c>
      <c r="C10" s="1" t="s">
        <v>4</v>
      </c>
      <c r="D10" s="1" t="s">
        <v>5</v>
      </c>
      <c r="E10" s="4" t="s">
        <v>69</v>
      </c>
      <c r="F10" s="7" t="s">
        <v>72</v>
      </c>
      <c r="G10" s="10">
        <v>4</v>
      </c>
      <c r="H10" s="14" t="s">
        <v>95</v>
      </c>
    </row>
    <row r="11" spans="2:8" ht="201.6">
      <c r="B11" s="1" t="s">
        <v>27</v>
      </c>
      <c r="C11" s="1" t="s">
        <v>6</v>
      </c>
      <c r="D11" s="1" t="s">
        <v>7</v>
      </c>
      <c r="E11" s="4" t="s">
        <v>69</v>
      </c>
      <c r="F11" s="7" t="s">
        <v>73</v>
      </c>
      <c r="G11" s="10">
        <v>4</v>
      </c>
      <c r="H11" s="14" t="s">
        <v>95</v>
      </c>
    </row>
    <row r="12" spans="2:8" ht="216">
      <c r="B12" s="1" t="s">
        <v>8</v>
      </c>
      <c r="C12" s="1" t="s">
        <v>9</v>
      </c>
      <c r="D12" s="1" t="s">
        <v>10</v>
      </c>
      <c r="E12" s="4" t="s">
        <v>69</v>
      </c>
      <c r="F12" s="7" t="s">
        <v>74</v>
      </c>
      <c r="G12" s="10">
        <v>6</v>
      </c>
      <c r="H12" s="14" t="s">
        <v>95</v>
      </c>
    </row>
    <row r="13" spans="2:8" ht="187.2">
      <c r="B13" s="1" t="s">
        <v>11</v>
      </c>
      <c r="C13" s="1" t="s">
        <v>12</v>
      </c>
      <c r="D13" s="1" t="s">
        <v>13</v>
      </c>
      <c r="E13" s="4" t="s">
        <v>69</v>
      </c>
      <c r="F13" s="7" t="s">
        <v>75</v>
      </c>
      <c r="G13" s="10">
        <v>4</v>
      </c>
      <c r="H13" s="14" t="s">
        <v>95</v>
      </c>
    </row>
    <row r="14" spans="2:8" ht="201.6">
      <c r="B14" s="1" t="s">
        <v>14</v>
      </c>
      <c r="C14" s="1" t="s">
        <v>15</v>
      </c>
      <c r="D14" s="1" t="s">
        <v>16</v>
      </c>
      <c r="E14" s="4" t="s">
        <v>69</v>
      </c>
      <c r="F14" s="7" t="s">
        <v>76</v>
      </c>
      <c r="G14" s="10">
        <v>6</v>
      </c>
      <c r="H14" s="14" t="s">
        <v>95</v>
      </c>
    </row>
    <row r="15" spans="2:8" ht="230.4">
      <c r="B15" s="1" t="s">
        <v>17</v>
      </c>
      <c r="C15" s="1" t="s">
        <v>18</v>
      </c>
      <c r="D15" s="1" t="s">
        <v>19</v>
      </c>
      <c r="E15" s="4" t="s">
        <v>69</v>
      </c>
      <c r="F15" s="7" t="s">
        <v>77</v>
      </c>
      <c r="G15" s="10">
        <v>4</v>
      </c>
      <c r="H15" s="14" t="s">
        <v>95</v>
      </c>
    </row>
    <row r="16" spans="2:8" ht="259.2">
      <c r="B16" s="1" t="s">
        <v>20</v>
      </c>
      <c r="C16" s="1" t="s">
        <v>21</v>
      </c>
      <c r="D16" s="1" t="s">
        <v>22</v>
      </c>
      <c r="E16" s="4" t="s">
        <v>69</v>
      </c>
      <c r="F16" s="4" t="s">
        <v>78</v>
      </c>
      <c r="G16" s="10">
        <v>7</v>
      </c>
      <c r="H16" s="14" t="s">
        <v>95</v>
      </c>
    </row>
    <row r="17" spans="2:9" ht="187.2">
      <c r="B17" s="1" t="s">
        <v>23</v>
      </c>
      <c r="C17" s="1" t="s">
        <v>24</v>
      </c>
      <c r="D17" s="1" t="s">
        <v>25</v>
      </c>
      <c r="E17" s="4" t="s">
        <v>69</v>
      </c>
      <c r="F17" s="7" t="s">
        <v>79</v>
      </c>
      <c r="G17" s="10">
        <v>5</v>
      </c>
      <c r="H17" s="14" t="s">
        <v>95</v>
      </c>
    </row>
    <row r="19" spans="2:9">
      <c r="B19" s="5" t="s">
        <v>29</v>
      </c>
      <c r="C19" s="5" t="s">
        <v>56</v>
      </c>
      <c r="G19" s="11">
        <f>SUM(G22:G25)</f>
        <v>30</v>
      </c>
    </row>
    <row r="21" spans="2:9">
      <c r="B21" s="2" t="s">
        <v>1</v>
      </c>
      <c r="C21" s="2" t="s">
        <v>2</v>
      </c>
      <c r="D21" s="2" t="s">
        <v>3</v>
      </c>
      <c r="E21" s="2" t="s">
        <v>68</v>
      </c>
      <c r="F21" s="2" t="s">
        <v>70</v>
      </c>
      <c r="G21" s="9" t="s">
        <v>84</v>
      </c>
      <c r="H21" s="21" t="s">
        <v>94</v>
      </c>
    </row>
    <row r="22" spans="2:9" ht="230.4">
      <c r="B22" s="1" t="s">
        <v>58</v>
      </c>
      <c r="C22" s="4" t="s">
        <v>32</v>
      </c>
      <c r="D22" s="4" t="s">
        <v>63</v>
      </c>
      <c r="E22" s="4" t="s">
        <v>69</v>
      </c>
      <c r="F22" s="7" t="s">
        <v>80</v>
      </c>
      <c r="G22" s="10">
        <v>6</v>
      </c>
      <c r="H22" s="14" t="s">
        <v>96</v>
      </c>
    </row>
    <row r="23" spans="2:9" ht="288">
      <c r="B23" s="4" t="s">
        <v>59</v>
      </c>
      <c r="C23" s="4" t="s">
        <v>34</v>
      </c>
      <c r="D23" s="4" t="s">
        <v>64</v>
      </c>
      <c r="E23" s="4" t="s">
        <v>69</v>
      </c>
      <c r="F23" s="7" t="s">
        <v>81</v>
      </c>
      <c r="G23" s="10">
        <v>8</v>
      </c>
      <c r="H23" s="14" t="s">
        <v>96</v>
      </c>
    </row>
    <row r="24" spans="2:9" ht="288">
      <c r="B24" s="4" t="s">
        <v>60</v>
      </c>
      <c r="C24" s="4" t="s">
        <v>62</v>
      </c>
      <c r="D24" s="4" t="s">
        <v>65</v>
      </c>
      <c r="E24" s="4" t="s">
        <v>69</v>
      </c>
      <c r="F24" s="7" t="s">
        <v>82</v>
      </c>
      <c r="G24" s="10">
        <v>8</v>
      </c>
      <c r="H24" s="14" t="s">
        <v>96</v>
      </c>
    </row>
    <row r="25" spans="2:9" ht="316.8">
      <c r="B25" s="4" t="s">
        <v>61</v>
      </c>
      <c r="C25" s="4" t="s">
        <v>46</v>
      </c>
      <c r="D25" s="4" t="s">
        <v>66</v>
      </c>
      <c r="E25" s="4" t="s">
        <v>69</v>
      </c>
      <c r="F25" s="7" t="s">
        <v>83</v>
      </c>
      <c r="G25" s="10">
        <v>8</v>
      </c>
      <c r="H25" s="14" t="s">
        <v>96</v>
      </c>
    </row>
    <row r="27" spans="2:9">
      <c r="B27" s="5" t="s">
        <v>51</v>
      </c>
      <c r="C27" s="5" t="s">
        <v>57</v>
      </c>
      <c r="G27" s="11">
        <f>SUM(G30:G36)</f>
        <v>30</v>
      </c>
    </row>
    <row r="29" spans="2:9">
      <c r="B29" s="2" t="s">
        <v>1</v>
      </c>
      <c r="C29" s="2" t="s">
        <v>2</v>
      </c>
      <c r="D29" s="2" t="s">
        <v>3</v>
      </c>
      <c r="E29" s="2" t="s">
        <v>68</v>
      </c>
      <c r="F29" s="2" t="s">
        <v>70</v>
      </c>
      <c r="G29" s="9" t="s">
        <v>93</v>
      </c>
      <c r="H29" s="22" t="s">
        <v>71</v>
      </c>
      <c r="I29" s="12" t="s">
        <v>94</v>
      </c>
    </row>
    <row r="30" spans="2:9" ht="244.8">
      <c r="B30" s="1" t="s">
        <v>31</v>
      </c>
      <c r="C30" s="1" t="s">
        <v>32</v>
      </c>
      <c r="D30" s="1" t="s">
        <v>85</v>
      </c>
      <c r="E30" s="4" t="s">
        <v>69</v>
      </c>
      <c r="F30" s="7" t="s">
        <v>86</v>
      </c>
      <c r="G30" s="10">
        <v>3</v>
      </c>
      <c r="H30" s="19" t="s">
        <v>100</v>
      </c>
      <c r="I30" s="4" t="s">
        <v>95</v>
      </c>
    </row>
    <row r="31" spans="2:9" ht="216">
      <c r="B31" s="4" t="s">
        <v>33</v>
      </c>
      <c r="C31" s="4" t="s">
        <v>34</v>
      </c>
      <c r="D31" s="4" t="s">
        <v>35</v>
      </c>
      <c r="E31" s="4" t="s">
        <v>69</v>
      </c>
      <c r="F31" s="7" t="s">
        <v>87</v>
      </c>
      <c r="G31" s="10">
        <v>4</v>
      </c>
      <c r="H31" s="19" t="s">
        <v>100</v>
      </c>
      <c r="I31" s="4" t="s">
        <v>95</v>
      </c>
    </row>
    <row r="32" spans="2:9" ht="244.8">
      <c r="B32" s="4" t="s">
        <v>36</v>
      </c>
      <c r="C32" s="4" t="s">
        <v>37</v>
      </c>
      <c r="D32" s="4" t="s">
        <v>38</v>
      </c>
      <c r="E32" s="4" t="s">
        <v>69</v>
      </c>
      <c r="F32" s="7" t="s">
        <v>88</v>
      </c>
      <c r="G32" s="10">
        <v>4</v>
      </c>
      <c r="H32" s="19" t="s">
        <v>100</v>
      </c>
      <c r="I32" s="4" t="s">
        <v>95</v>
      </c>
    </row>
    <row r="33" spans="2:9" ht="259.2">
      <c r="B33" s="4" t="s">
        <v>39</v>
      </c>
      <c r="C33" s="4" t="s">
        <v>40</v>
      </c>
      <c r="D33" s="4" t="s">
        <v>41</v>
      </c>
      <c r="E33" s="4" t="s">
        <v>69</v>
      </c>
      <c r="F33" s="7" t="s">
        <v>89</v>
      </c>
      <c r="G33" s="10">
        <v>5</v>
      </c>
      <c r="H33" s="19" t="s">
        <v>100</v>
      </c>
      <c r="I33" s="4" t="s">
        <v>95</v>
      </c>
    </row>
    <row r="34" spans="2:9" ht="244.8">
      <c r="B34" s="4" t="s">
        <v>42</v>
      </c>
      <c r="C34" s="4" t="s">
        <v>43</v>
      </c>
      <c r="D34" s="4" t="s">
        <v>44</v>
      </c>
      <c r="E34" s="4" t="s">
        <v>69</v>
      </c>
      <c r="F34" s="7" t="s">
        <v>90</v>
      </c>
      <c r="G34" s="10">
        <v>3</v>
      </c>
      <c r="H34" s="19" t="s">
        <v>100</v>
      </c>
      <c r="I34" s="4" t="s">
        <v>95</v>
      </c>
    </row>
    <row r="35" spans="2:9" ht="302.39999999999998">
      <c r="B35" s="4" t="s">
        <v>45</v>
      </c>
      <c r="C35" s="4" t="s">
        <v>46</v>
      </c>
      <c r="D35" s="4" t="s">
        <v>47</v>
      </c>
      <c r="E35" s="4" t="s">
        <v>69</v>
      </c>
      <c r="F35" s="7" t="s">
        <v>91</v>
      </c>
      <c r="G35" s="10">
        <v>5</v>
      </c>
      <c r="H35" s="19" t="s">
        <v>100</v>
      </c>
      <c r="I35" s="4" t="s">
        <v>95</v>
      </c>
    </row>
    <row r="36" spans="2:9" ht="259.2">
      <c r="B36" s="4" t="s">
        <v>48</v>
      </c>
      <c r="C36" s="4" t="s">
        <v>49</v>
      </c>
      <c r="D36" s="4" t="s">
        <v>50</v>
      </c>
      <c r="E36" s="4" t="s">
        <v>69</v>
      </c>
      <c r="F36" s="7" t="s">
        <v>92</v>
      </c>
      <c r="G36" s="10">
        <v>6</v>
      </c>
      <c r="H36" s="19" t="s">
        <v>100</v>
      </c>
      <c r="I36" s="4" t="s">
        <v>95</v>
      </c>
    </row>
    <row r="44" spans="2:9">
      <c r="F44" s="6">
        <f>100-36</f>
        <v>64</v>
      </c>
    </row>
  </sheetData>
  <mergeCells count="1">
    <mergeCell ref="F3:F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Rubric_Manual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Van Phung</cp:lastModifiedBy>
  <cp:revision>0</cp:revision>
  <dcterms:created xsi:type="dcterms:W3CDTF">2026-09-23T16:31:09Z</dcterms:created>
  <dcterms:modified xsi:type="dcterms:W3CDTF">2026-10-06T12:18:16Z</dcterms:modified>
  <dc:language>en-US</dc:language>
</cp:coreProperties>
</file>